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ykhan\Downloads\"/>
    </mc:Choice>
  </mc:AlternateContent>
  <xr:revisionPtr revIDLastSave="0" documentId="13_ncr:1_{EF9B9BC0-B023-463B-8185-91F1D187187E}" xr6:coauthVersionLast="47" xr6:coauthVersionMax="47" xr10:uidLastSave="{00000000-0000-0000-0000-000000000000}"/>
  <bookViews>
    <workbookView xWindow="-120" yWindow="-120" windowWidth="29040" windowHeight="15840" xr2:uid="{8DA5953B-3743-4F64-AEC6-9262F253E41C}"/>
  </bookViews>
  <sheets>
    <sheet name="Freight Calculator" sheetId="1" r:id="rId1"/>
    <sheet name="Estimate" sheetId="9" r:id="rId2"/>
    <sheet name="Customers" sheetId="10" r:id="rId3"/>
    <sheet name="Countries &amp; Rates" sheetId="2" r:id="rId4"/>
    <sheet name="Origins" sheetId="3" r:id="rId5"/>
    <sheet name="Helper" sheetId="11" r:id="rId6"/>
  </sheets>
  <externalReferences>
    <externalReference r:id="rId7"/>
    <externalReference r:id="rId8"/>
  </externalReferences>
  <definedNames>
    <definedName name="admin_documentation_fee">'Freight Calculator'!$C$22</definedName>
    <definedName name="Cargo_Value" localSheetId="5">'[1]Freight Calculator'!$C$11</definedName>
    <definedName name="Cargo_Value">'Freight Calculator'!$C$10</definedName>
    <definedName name="destination" localSheetId="5">'[1]Freight Calculator'!$C$7</definedName>
    <definedName name="destination">'Freight Calculator'!#REF!</definedName>
    <definedName name="destination2">'Freight Calculator'!$C$6</definedName>
    <definedName name="duty_taxes">'Freight Calculator'!#REF!</definedName>
    <definedName name="handling_charges">'Freight Calculator'!$C$15</definedName>
    <definedName name="height" localSheetId="5">'[1]Freight Calculator'!$C$20</definedName>
    <definedName name="height">'Freight Calculator'!$C$20</definedName>
    <definedName name="IOR">'Freight Calculator'!$C$9</definedName>
    <definedName name="length" localSheetId="5">'[1]Freight Calculator'!$C$18</definedName>
    <definedName name="length">'Freight Calculator'!$C$18</definedName>
    <definedName name="origin">'Freight Calculator'!#REF!</definedName>
    <definedName name="origin2">'Freight Calculator'!$C$5</definedName>
    <definedName name="package_dimension" localSheetId="5">'[1]Freight Calculator'!$C$17</definedName>
    <definedName name="package_dimension">'Freight Calculator'!$C$17</definedName>
    <definedName name="package_gross_weight" localSheetId="5">'[1]Freight Calculator'!$C$16</definedName>
    <definedName name="package_gross_weight">'Freight Calculator'!$C$16</definedName>
    <definedName name="_xlnm.Print_Area" localSheetId="2">Customers!$B$2:$M$48</definedName>
    <definedName name="_xlnm.Print_Area" localSheetId="1">Estimate!$B$1:$N$60</definedName>
    <definedName name="_xlnm.Print_Area" localSheetId="0">'Freight Calculator'!$A$1:$D$37</definedName>
    <definedName name="Type">'[2]Maintenance Work Order'!#REF!</definedName>
    <definedName name="valuevx">42.314159</definedName>
    <definedName name="vertex42_copyright" hidden="1">"© 2010-2014 Vertex42 LLC"</definedName>
    <definedName name="vertex42_id" hidden="1">"quote-template.xlsx"</definedName>
    <definedName name="vertex42_title" hidden="1">"Price Quote Template"</definedName>
    <definedName name="volumetric_weight" localSheetId="5">'[1]Freight Calculator'!$C$21</definedName>
    <definedName name="volumetric_weight">'Freight Calculator'!$C$21</definedName>
    <definedName name="width" localSheetId="5">'[1]Freight Calculator'!$C$19</definedName>
    <definedName name="width">'Freight Calculator'!$C$19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9" l="1"/>
  <c r="C7" i="9"/>
  <c r="C6" i="9"/>
  <c r="C5" i="9"/>
  <c r="C4" i="9"/>
  <c r="M32" i="9"/>
  <c r="M34" i="9" s="1"/>
  <c r="M31" i="9"/>
  <c r="G8" i="9" l="1"/>
  <c r="G7" i="9"/>
  <c r="G6" i="9"/>
  <c r="C11" i="1" l="1"/>
  <c r="I12" i="9"/>
  <c r="C12" i="9"/>
  <c r="M2" i="9"/>
  <c r="M36" i="9" l="1"/>
  <c r="C9" i="1"/>
  <c r="F53" i="2" l="1"/>
  <c r="C17" i="1"/>
  <c r="C21" i="1" s="1"/>
  <c r="C29" i="1" s="1"/>
  <c r="C15" i="1" l="1"/>
  <c r="C30" i="1" s="1"/>
  <c r="G1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Yaqoob Khan</author>
  </authors>
  <commentList>
    <comment ref="C9" authorId="0" shapeId="0" xr:uid="{139087CB-EA92-440E-8E30-6DF9C6351EE7}">
      <text>
        <r>
          <rPr>
            <b/>
            <sz val="9"/>
            <color indexed="81"/>
            <rFont val="Tahoma"/>
            <family val="2"/>
          </rPr>
          <t>Auto Calculated</t>
        </r>
        <r>
          <rPr>
            <sz val="9"/>
            <color indexed="81"/>
            <rFont val="Tahoma"/>
            <family val="2"/>
          </rPr>
          <t xml:space="preserve">
Fixed fee, applied as USD 600 or 5% of cargo value, whichever is higher</t>
        </r>
      </text>
    </comment>
    <comment ref="C10" authorId="0" shapeId="0" xr:uid="{CA392B17-2345-4953-A7AE-9E9580338018}">
      <text>
        <r>
          <rPr>
            <sz val="9"/>
            <color indexed="81"/>
            <rFont val="Tahoma"/>
            <family val="2"/>
          </rPr>
          <t>Input Value</t>
        </r>
      </text>
    </comment>
    <comment ref="C11" authorId="0" shapeId="0" xr:uid="{228DB1F5-0EDF-407D-ADC5-9B2C89374A0D}">
      <text>
        <r>
          <rPr>
            <b/>
            <sz val="9"/>
            <color indexed="81"/>
            <rFont val="Tahoma"/>
            <family val="2"/>
          </rPr>
          <t>Auto Calculated</t>
        </r>
        <r>
          <rPr>
            <sz val="9"/>
            <color indexed="81"/>
            <rFont val="Tahoma"/>
            <family val="2"/>
          </rPr>
          <t xml:space="preserve">
based on Cargo value and charges based on government regulations defined in sheet named "Countries &amp; Rates"</t>
        </r>
      </text>
    </comment>
    <comment ref="C12" authorId="0" shapeId="0" xr:uid="{3747A251-6B7B-4913-8E3B-EB3A18884F4B}">
      <text>
        <r>
          <rPr>
            <b/>
            <sz val="9"/>
            <color indexed="81"/>
            <rFont val="Tahoma"/>
            <family val="2"/>
          </rPr>
          <t>Variable</t>
        </r>
        <r>
          <rPr>
            <sz val="9"/>
            <color indexed="81"/>
            <rFont val="Tahoma"/>
            <family val="2"/>
          </rPr>
          <t xml:space="preserve">
Determined by cargo and destination country</t>
        </r>
      </text>
    </comment>
    <comment ref="C13" authorId="0" shapeId="0" xr:uid="{738D93AF-BDE1-4E9F-92FD-13FD007E0C02}">
      <text>
        <r>
          <rPr>
            <sz val="9"/>
            <color indexed="81"/>
            <rFont val="Tahoma"/>
            <family val="2"/>
          </rPr>
          <t>Fixed Fee</t>
        </r>
      </text>
    </comment>
    <comment ref="C14" authorId="0" shapeId="0" xr:uid="{264BEFA6-E344-4595-BA59-78E00E5C34DE}">
      <text>
        <r>
          <rPr>
            <b/>
            <sz val="9"/>
            <color indexed="81"/>
            <rFont val="Tahoma"/>
            <family val="2"/>
          </rPr>
          <t>Variable (input by user)</t>
        </r>
        <r>
          <rPr>
            <sz val="9"/>
            <color indexed="81"/>
            <rFont val="Tahoma"/>
            <family val="2"/>
          </rPr>
          <t xml:space="preserve">
Dependent on certification/approval required</t>
        </r>
      </text>
    </comment>
    <comment ref="C15" authorId="0" shapeId="0" xr:uid="{27E9D9CA-7807-4DE5-8F93-7C13C00BF070}">
      <text>
        <r>
          <rPr>
            <b/>
            <sz val="9"/>
            <color indexed="81"/>
            <rFont val="Tahoma"/>
            <family val="2"/>
          </rPr>
          <t>Auto Calculated</t>
        </r>
        <r>
          <rPr>
            <sz val="9"/>
            <color indexed="81"/>
            <rFont val="Tahoma"/>
            <family val="2"/>
          </rPr>
          <t xml:space="preserve">
</t>
        </r>
        <r>
          <rPr>
            <b/>
            <sz val="9"/>
            <color indexed="81"/>
            <rFont val="Tahoma"/>
            <family val="2"/>
          </rPr>
          <t xml:space="preserve">a. </t>
        </r>
        <r>
          <rPr>
            <sz val="9"/>
            <color indexed="81"/>
            <rFont val="Tahoma"/>
            <family val="2"/>
          </rPr>
          <t xml:space="preserve">Charge based on the higher of the flat fee or per kg rate. 
</t>
        </r>
        <r>
          <rPr>
            <b/>
            <sz val="9"/>
            <color indexed="81"/>
            <rFont val="Tahoma"/>
            <family val="2"/>
          </rPr>
          <t xml:space="preserve">b. </t>
        </r>
        <r>
          <rPr>
            <sz val="9"/>
            <color indexed="81"/>
            <rFont val="Tahoma"/>
            <family val="2"/>
          </rPr>
          <t xml:space="preserve">Chargeable weight is either gross weight or volumetric weight whichever is higher.
</t>
        </r>
        <r>
          <rPr>
            <b/>
            <sz val="9"/>
            <color indexed="81"/>
            <rFont val="Tahoma"/>
            <family val="2"/>
          </rPr>
          <t xml:space="preserve">C. </t>
        </r>
        <r>
          <rPr>
            <sz val="9"/>
            <color indexed="81"/>
            <rFont val="Tahoma"/>
            <family val="2"/>
          </rPr>
          <t>USD 400 or USD 0.75/kg</t>
        </r>
      </text>
    </comment>
    <comment ref="C16" authorId="0" shapeId="0" xr:uid="{4942FEFE-BEF4-493C-B881-52B18FF9A979}">
      <text>
        <r>
          <rPr>
            <sz val="9"/>
            <color indexed="81"/>
            <rFont val="Tahoma"/>
            <family val="2"/>
          </rPr>
          <t>Input in kg</t>
        </r>
      </text>
    </comment>
    <comment ref="C17" authorId="0" shapeId="0" xr:uid="{762985A5-26F4-4B18-AA00-F2170D04F0C0}">
      <text>
        <r>
          <rPr>
            <b/>
            <sz val="9"/>
            <color indexed="81"/>
            <rFont val="Tahoma"/>
            <family val="2"/>
          </rPr>
          <t>Auto Calculated</t>
        </r>
        <r>
          <rPr>
            <sz val="9"/>
            <color indexed="81"/>
            <rFont val="Tahoma"/>
            <family val="2"/>
          </rPr>
          <t xml:space="preserve">
based on length, width, and height defined in cell C15, 16, 17</t>
        </r>
      </text>
    </comment>
    <comment ref="C18" authorId="0" shapeId="0" xr:uid="{22513B4E-3752-4572-90E5-A75559671AD6}">
      <text>
        <r>
          <rPr>
            <sz val="9"/>
            <color indexed="81"/>
            <rFont val="Tahoma"/>
            <family val="2"/>
          </rPr>
          <t>Input in cm</t>
        </r>
      </text>
    </comment>
    <comment ref="C19" authorId="0" shapeId="0" xr:uid="{49624D8A-4D1A-40F1-B98E-F9A6B05F93C1}">
      <text>
        <r>
          <rPr>
            <sz val="9"/>
            <color indexed="81"/>
            <rFont val="Tahoma"/>
            <family val="2"/>
          </rPr>
          <t>Input in cm</t>
        </r>
      </text>
    </comment>
    <comment ref="C20" authorId="0" shapeId="0" xr:uid="{4716DBC5-3F42-4AE8-ABA6-613BF5BC94D7}">
      <text>
        <r>
          <rPr>
            <sz val="9"/>
            <color indexed="81"/>
            <rFont val="Tahoma"/>
            <family val="2"/>
          </rPr>
          <t>Input in cm</t>
        </r>
      </text>
    </comment>
    <comment ref="C21" authorId="0" shapeId="0" xr:uid="{031B7519-FE6E-487E-8C5A-28248EDC512E}">
      <text>
        <r>
          <rPr>
            <b/>
            <sz val="9"/>
            <color indexed="81"/>
            <rFont val="Tahoma"/>
            <family val="2"/>
          </rPr>
          <t>Auto Calculated</t>
        </r>
        <r>
          <rPr>
            <sz val="9"/>
            <color indexed="81"/>
            <rFont val="Tahoma"/>
            <family val="2"/>
          </rPr>
          <t xml:space="preserve">
based on package dimension</t>
        </r>
      </text>
    </comment>
    <comment ref="C22" authorId="0" shapeId="0" xr:uid="{DDAF5168-BE42-4145-8B60-37A25B9432A6}">
      <text>
        <r>
          <rPr>
            <sz val="9"/>
            <color indexed="81"/>
            <rFont val="Tahoma"/>
            <family val="2"/>
          </rPr>
          <t>Fixed Fee</t>
        </r>
      </text>
    </comment>
    <comment ref="C23" authorId="0" shapeId="0" xr:uid="{6ED25A51-49B5-4DBC-99D4-9504B409479F}">
      <text>
        <r>
          <rPr>
            <b/>
            <sz val="9"/>
            <color indexed="81"/>
            <rFont val="Tahoma"/>
            <family val="2"/>
          </rPr>
          <t>Input</t>
        </r>
        <r>
          <rPr>
            <sz val="9"/>
            <color indexed="81"/>
            <rFont val="Tahoma"/>
            <family val="2"/>
          </rPr>
          <t xml:space="preserve">
Dependent on part number and country of origin/destination</t>
        </r>
      </text>
    </comment>
    <comment ref="C24" authorId="0" shapeId="0" xr:uid="{C8B714EA-D3C6-43F5-BF25-E80533163C88}">
      <text>
        <r>
          <rPr>
            <b/>
            <sz val="9"/>
            <color indexed="81"/>
            <rFont val="Tahoma"/>
            <family val="2"/>
          </rPr>
          <t>Input</t>
        </r>
        <r>
          <rPr>
            <sz val="9"/>
            <color indexed="81"/>
            <rFont val="Tahoma"/>
            <family val="2"/>
          </rPr>
          <t xml:space="preserve">
Charges based on actual storage time</t>
        </r>
      </text>
    </comment>
    <comment ref="C29" authorId="0" shapeId="0" xr:uid="{E6484683-D16F-4D63-9613-2A1FEE965793}">
      <text>
        <r>
          <rPr>
            <b/>
            <sz val="9"/>
            <color indexed="81"/>
            <rFont val="Tahoma"/>
            <family val="2"/>
          </rPr>
          <t>Input</t>
        </r>
        <r>
          <rPr>
            <sz val="9"/>
            <color indexed="81"/>
            <rFont val="Tahoma"/>
            <family val="2"/>
          </rPr>
          <t xml:space="preserve">
Charges based on actual storage time</t>
        </r>
      </text>
    </comment>
    <comment ref="C30" authorId="0" shapeId="0" xr:uid="{312F227A-8EAB-4674-976C-1769646E870D}">
      <text>
        <r>
          <rPr>
            <b/>
            <sz val="9"/>
            <color indexed="81"/>
            <rFont val="Tahoma"/>
            <family val="2"/>
          </rPr>
          <t>Final Delivery Charges</t>
        </r>
        <r>
          <rPr>
            <sz val="9"/>
            <color indexed="81"/>
            <rFont val="Tahoma"/>
            <family val="2"/>
          </rPr>
          <t xml:space="preserve">
based on Cargo value and charges based on government regulations defined in sheet named "Countries &amp; Rates"</t>
        </r>
      </text>
    </comment>
  </commentList>
</comments>
</file>

<file path=xl/sharedStrings.xml><?xml version="1.0" encoding="utf-8"?>
<sst xmlns="http://schemas.openxmlformats.org/spreadsheetml/2006/main" count="504" uniqueCount="306">
  <si>
    <t>Description</t>
  </si>
  <si>
    <t>Minimum Charges</t>
  </si>
  <si>
    <t>IOR</t>
  </si>
  <si>
    <t>Cargo Value</t>
  </si>
  <si>
    <t>Import Permit/Approval</t>
  </si>
  <si>
    <t>Handling Charges</t>
  </si>
  <si>
    <t>Package Dimensions (length*width*Height)</t>
  </si>
  <si>
    <t>Volumetric Weight</t>
  </si>
  <si>
    <t>Compliance &amp; Certification</t>
  </si>
  <si>
    <t>Freight Cost Calculator</t>
  </si>
  <si>
    <t>Package Gross Weight (Kg)</t>
  </si>
  <si>
    <t>Length</t>
  </si>
  <si>
    <t>Width</t>
  </si>
  <si>
    <t>Height</t>
  </si>
  <si>
    <t>PROVIDER ZONE</t>
  </si>
  <si>
    <t>TGS SLA ZONE</t>
  </si>
  <si>
    <t>TBS PRIORITY</t>
  </si>
  <si>
    <t>COUNTRY</t>
  </si>
  <si>
    <t>DT %age</t>
  </si>
  <si>
    <t>Customs Brokerage</t>
  </si>
  <si>
    <t>Region 1</t>
  </si>
  <si>
    <t>Switzerland</t>
  </si>
  <si>
    <t>Minimum $450.00</t>
  </si>
  <si>
    <t>Minimum $400.00</t>
  </si>
  <si>
    <t>United Kingdom</t>
  </si>
  <si>
    <t>Ireland</t>
  </si>
  <si>
    <t>Norway</t>
  </si>
  <si>
    <t>Sweden</t>
  </si>
  <si>
    <t>Turkey</t>
  </si>
  <si>
    <t>Andorra</t>
  </si>
  <si>
    <t>Finland</t>
  </si>
  <si>
    <t>Gibraltar</t>
  </si>
  <si>
    <t>Iceland</t>
  </si>
  <si>
    <t>Israel</t>
  </si>
  <si>
    <t>Latvia</t>
  </si>
  <si>
    <t>Liechtenstein</t>
  </si>
  <si>
    <t>Lithuania</t>
  </si>
  <si>
    <t>Malta</t>
  </si>
  <si>
    <t>Monaco</t>
  </si>
  <si>
    <t>Vatican City/Holy See</t>
  </si>
  <si>
    <t>Bosnia and Herzegovina</t>
  </si>
  <si>
    <t>Croatia</t>
  </si>
  <si>
    <t>Cyprus</t>
  </si>
  <si>
    <t>Greece</t>
  </si>
  <si>
    <t>Macedonia</t>
  </si>
  <si>
    <t>Montenegro</t>
  </si>
  <si>
    <t>Serbia</t>
  </si>
  <si>
    <t>Region 2</t>
  </si>
  <si>
    <t>Puerto Rico</t>
  </si>
  <si>
    <t>United States</t>
  </si>
  <si>
    <t>Canada</t>
  </si>
  <si>
    <t>Region 3</t>
  </si>
  <si>
    <t>Argentina</t>
  </si>
  <si>
    <t>Brazil</t>
  </si>
  <si>
    <t>Colombia</t>
  </si>
  <si>
    <t>Chile</t>
  </si>
  <si>
    <t>Peru</t>
  </si>
  <si>
    <t>Uruguay</t>
  </si>
  <si>
    <t>Ecuador</t>
  </si>
  <si>
    <t>Mexico</t>
  </si>
  <si>
    <t>El Salvador</t>
  </si>
  <si>
    <t>Guatemala</t>
  </si>
  <si>
    <t>Panama</t>
  </si>
  <si>
    <t>Bolivia</t>
  </si>
  <si>
    <t>Cuba</t>
  </si>
  <si>
    <t>Paraguay</t>
  </si>
  <si>
    <t>Costa Rica</t>
  </si>
  <si>
    <t>Dominican Republic</t>
  </si>
  <si>
    <t>Honduras</t>
  </si>
  <si>
    <t>Jamaica</t>
  </si>
  <si>
    <t>Nicaragua</t>
  </si>
  <si>
    <t>Region 4</t>
  </si>
  <si>
    <t>Australia</t>
  </si>
  <si>
    <t>Hong Kong</t>
  </si>
  <si>
    <t>Japan</t>
  </si>
  <si>
    <t>China</t>
  </si>
  <si>
    <t>Indonesia</t>
  </si>
  <si>
    <t>Singapore</t>
  </si>
  <si>
    <t>South Korea</t>
  </si>
  <si>
    <t>Malaysia</t>
  </si>
  <si>
    <t>Philippines</t>
  </si>
  <si>
    <t>India</t>
  </si>
  <si>
    <t>Egypt</t>
  </si>
  <si>
    <t>South Africa</t>
  </si>
  <si>
    <t>Morocco</t>
  </si>
  <si>
    <t>United Arab Emirates</t>
  </si>
  <si>
    <t>New Zealand</t>
  </si>
  <si>
    <t>Taiwan</t>
  </si>
  <si>
    <t>Sri Lanka</t>
  </si>
  <si>
    <t>Thailand</t>
  </si>
  <si>
    <t>Vietnam</t>
  </si>
  <si>
    <t>Kazakhstan</t>
  </si>
  <si>
    <t>Macau</t>
  </si>
  <si>
    <t>Pakistan</t>
  </si>
  <si>
    <t>Bangladesh</t>
  </si>
  <si>
    <t>Albania</t>
  </si>
  <si>
    <t>Algeria</t>
  </si>
  <si>
    <t>Angola</t>
  </si>
  <si>
    <t>Bahrain</t>
  </si>
  <si>
    <t>Mozambique</t>
  </si>
  <si>
    <t>Namibia</t>
  </si>
  <si>
    <t>Niger</t>
  </si>
  <si>
    <t>Nigeria</t>
  </si>
  <si>
    <t>Oman</t>
  </si>
  <si>
    <t>Qatar</t>
  </si>
  <si>
    <t>Saudi Arabia</t>
  </si>
  <si>
    <t>Senegal</t>
  </si>
  <si>
    <t>Seychelles</t>
  </si>
  <si>
    <t>Sierra Leone</t>
  </si>
  <si>
    <t>Somalia</t>
  </si>
  <si>
    <t>South Sudan</t>
  </si>
  <si>
    <t>Sudan</t>
  </si>
  <si>
    <t>Syria</t>
  </si>
  <si>
    <t>Tanzania</t>
  </si>
  <si>
    <t>Togo</t>
  </si>
  <si>
    <t>Transnistria</t>
  </si>
  <si>
    <t>Tunisia</t>
  </si>
  <si>
    <t>Uganda</t>
  </si>
  <si>
    <t>Yemen</t>
  </si>
  <si>
    <t>Zambia</t>
  </si>
  <si>
    <t>Zimbabwe</t>
  </si>
  <si>
    <t>Afghanistan</t>
  </si>
  <si>
    <t>Antigua and Barbuda</t>
  </si>
  <si>
    <t>Armenia</t>
  </si>
  <si>
    <t>Austria</t>
  </si>
  <si>
    <t>Azerbaijan</t>
  </si>
  <si>
    <t>Bahamas</t>
  </si>
  <si>
    <t>Barbados</t>
  </si>
  <si>
    <t>Belarus</t>
  </si>
  <si>
    <t>Belgium</t>
  </si>
  <si>
    <t>Belize</t>
  </si>
  <si>
    <t>Benin</t>
  </si>
  <si>
    <t>Bhutan</t>
  </si>
  <si>
    <t>Botswana</t>
  </si>
  <si>
    <t>Brunei</t>
  </si>
  <si>
    <t>Bulgaria</t>
  </si>
  <si>
    <t>Burkina Faso</t>
  </si>
  <si>
    <t>Burundi</t>
  </si>
  <si>
    <t>Cabo Verde</t>
  </si>
  <si>
    <t>Cambodia</t>
  </si>
  <si>
    <t>Cameroon</t>
  </si>
  <si>
    <t>Central African Republic</t>
  </si>
  <si>
    <t>Chad</t>
  </si>
  <si>
    <t>Comoros</t>
  </si>
  <si>
    <t>Congo</t>
  </si>
  <si>
    <t>Czech Republic</t>
  </si>
  <si>
    <t>Denmark</t>
  </si>
  <si>
    <t>Djibouti</t>
  </si>
  <si>
    <t>Dominica</t>
  </si>
  <si>
    <t>East Timor (Timor-Leste)</t>
  </si>
  <si>
    <t>Equatorial Guinea</t>
  </si>
  <si>
    <t>Eritrea</t>
  </si>
  <si>
    <t>Estonia</t>
  </si>
  <si>
    <t>Eswatini</t>
  </si>
  <si>
    <t>Ethiopia</t>
  </si>
  <si>
    <t>Fiji</t>
  </si>
  <si>
    <t>France</t>
  </si>
  <si>
    <t>Gabon</t>
  </si>
  <si>
    <t>Gambia</t>
  </si>
  <si>
    <t>Georgia</t>
  </si>
  <si>
    <t>Germany</t>
  </si>
  <si>
    <t>Ghana</t>
  </si>
  <si>
    <t>Grenada</t>
  </si>
  <si>
    <t>Guinea</t>
  </si>
  <si>
    <t>Guinea-Bissau</t>
  </si>
  <si>
    <t>Guyana</t>
  </si>
  <si>
    <t>Haiti</t>
  </si>
  <si>
    <t>Hungary</t>
  </si>
  <si>
    <t>Iran</t>
  </si>
  <si>
    <t>Iraq</t>
  </si>
  <si>
    <t>Italy</t>
  </si>
  <si>
    <t>Ivory Coast</t>
  </si>
  <si>
    <t>Jordan</t>
  </si>
  <si>
    <t>Kenya</t>
  </si>
  <si>
    <t>Kiribati</t>
  </si>
  <si>
    <t>Korea, North</t>
  </si>
  <si>
    <t>Korea, South</t>
  </si>
  <si>
    <t>Kosovo</t>
  </si>
  <si>
    <t>Kuwait</t>
  </si>
  <si>
    <t>Kyrgyzstan</t>
  </si>
  <si>
    <t>Laos</t>
  </si>
  <si>
    <t>Lebanon</t>
  </si>
  <si>
    <t>Lesotho</t>
  </si>
  <si>
    <t>Liberia</t>
  </si>
  <si>
    <t>Libya</t>
  </si>
  <si>
    <t>Luxembourg</t>
  </si>
  <si>
    <t>Madagascar</t>
  </si>
  <si>
    <t>Malawi</t>
  </si>
  <si>
    <t>Maldives</t>
  </si>
  <si>
    <t>Mali</t>
  </si>
  <si>
    <t>Marshall Islands</t>
  </si>
  <si>
    <t>Mauritania</t>
  </si>
  <si>
    <t>Mauritius</t>
  </si>
  <si>
    <t>Micronesia</t>
  </si>
  <si>
    <t>Moldova</t>
  </si>
  <si>
    <t>Mongolia</t>
  </si>
  <si>
    <t>Myanmar (Burma)</t>
  </si>
  <si>
    <t>Nauru</t>
  </si>
  <si>
    <t>Nepal</t>
  </si>
  <si>
    <t>Netherlands</t>
  </si>
  <si>
    <t>North Macedonia</t>
  </si>
  <si>
    <t>Palau</t>
  </si>
  <si>
    <t>Papua New Guinea</t>
  </si>
  <si>
    <t>Poland</t>
  </si>
  <si>
    <t>Portugal</t>
  </si>
  <si>
    <t>Romania</t>
  </si>
  <si>
    <t>Russia</t>
  </si>
  <si>
    <t>Rwanda</t>
  </si>
  <si>
    <t>Saint Kitts and Nevis</t>
  </si>
  <si>
    <t>Saint Lucia</t>
  </si>
  <si>
    <t>Saint Vincent and the Grenadines</t>
  </si>
  <si>
    <t>Samoa</t>
  </si>
  <si>
    <t>San Marino</t>
  </si>
  <si>
    <t>Sao Tome and Principe</t>
  </si>
  <si>
    <t>Slovakia</t>
  </si>
  <si>
    <t>Slovenia</t>
  </si>
  <si>
    <t>Solomon Islands</t>
  </si>
  <si>
    <t>Spain</t>
  </si>
  <si>
    <t>Suriname</t>
  </si>
  <si>
    <t>Tajikistan</t>
  </si>
  <si>
    <t>Tonga</t>
  </si>
  <si>
    <t>Trinidad and Tobago</t>
  </si>
  <si>
    <t>Turkmenistan</t>
  </si>
  <si>
    <t>Tuvalu</t>
  </si>
  <si>
    <t>Ukraine</t>
  </si>
  <si>
    <t>Uzbekistan</t>
  </si>
  <si>
    <t>Vanuatu</t>
  </si>
  <si>
    <t>Vatican City</t>
  </si>
  <si>
    <t>Venezuela</t>
  </si>
  <si>
    <t>Countries of Origins</t>
  </si>
  <si>
    <t>Sr. #</t>
  </si>
  <si>
    <t>Handling</t>
  </si>
  <si>
    <t>Disclaimer:</t>
  </si>
  <si>
    <r>
      <rPr>
        <b/>
        <sz val="11"/>
        <rFont val="Calibri"/>
        <family val="2"/>
      </rPr>
      <t xml:space="preserve">Note: </t>
    </r>
    <r>
      <rPr>
        <sz val="11"/>
        <rFont val="Calibri"/>
        <family val="2"/>
      </rPr>
      <t>Variable charges are dependent on a variety of factors, including but not limited to cargo value, storage duration, part specifications, and destination country's regulations.</t>
    </r>
  </si>
  <si>
    <t>Note</t>
  </si>
  <si>
    <t>Ship From</t>
  </si>
  <si>
    <t>Ship To</t>
  </si>
  <si>
    <t>DATE</t>
  </si>
  <si>
    <t>QUOTE #</t>
  </si>
  <si>
    <t>CUSTOMER ID</t>
  </si>
  <si>
    <t>CUSTOMER</t>
  </si>
  <si>
    <t>DESCRIPTION</t>
  </si>
  <si>
    <t>TAXED</t>
  </si>
  <si>
    <t>AMOUNT</t>
  </si>
  <si>
    <t>1. Customer will be billed after indicating acceptance of this quote</t>
  </si>
  <si>
    <t>2. Payment will be due prior to delivery of service and goods</t>
  </si>
  <si>
    <t>3. Please fax or mail the signed price quote to the address above</t>
  </si>
  <si>
    <t>Customer Acceptance (sign below):</t>
  </si>
  <si>
    <t>x ___________________________________________</t>
  </si>
  <si>
    <t>Print Name:</t>
  </si>
  <si>
    <t>Thank You For Your Business!</t>
  </si>
  <si>
    <t>Total</t>
  </si>
  <si>
    <t>Freight</t>
  </si>
  <si>
    <t xml:space="preserve">Last Mile Delivery </t>
  </si>
  <si>
    <t>Estimated Duty &amp; Taxes</t>
  </si>
  <si>
    <t>5-8% OR minimum $500.00</t>
  </si>
  <si>
    <t>Admin &amp; Bank Charges</t>
  </si>
  <si>
    <t>If you have any questions about this price quote, please contact us.</t>
  </si>
  <si>
    <t>Subtotal:</t>
  </si>
  <si>
    <t>Taxable:</t>
  </si>
  <si>
    <t>Tax rate:</t>
  </si>
  <si>
    <t>Tax due:</t>
  </si>
  <si>
    <t>Other:</t>
  </si>
  <si>
    <t>TOTAL:</t>
  </si>
  <si>
    <t>SHIP TO</t>
  </si>
  <si>
    <t>SHIP FROM</t>
  </si>
  <si>
    <t>COMPANY NAME</t>
  </si>
  <si>
    <t>CONTACT NAME</t>
  </si>
  <si>
    <t>CONTACT TITLE</t>
  </si>
  <si>
    <t>PHONE 1</t>
  </si>
  <si>
    <t>PHONE 2</t>
  </si>
  <si>
    <t>EMAIL ADDRESS</t>
  </si>
  <si>
    <r>
      <t xml:space="preserve">BILLING ADDRESS </t>
    </r>
    <r>
      <rPr>
        <sz val="10"/>
        <color theme="0"/>
        <rFont val="Aptos Narrow"/>
        <family val="2"/>
        <scheme val="minor"/>
      </rPr>
      <t>if different</t>
    </r>
  </si>
  <si>
    <t>NOTES</t>
  </si>
  <si>
    <t>CUSTOMERS</t>
  </si>
  <si>
    <t>CITY</t>
  </si>
  <si>
    <t>COMPLETE MAILING ADDRESS</t>
  </si>
  <si>
    <t>Estimate From</t>
  </si>
  <si>
    <t>The charges in this quote are based on current package dimensions and declared value. Final charges will be calculated from precise measurements and weights verified at shipment processing. "Variable" charges are estimates and will be billed according to actual costs, depending on factors like cargo size, weight, storage duration, required approvals, and destination regulations. The final invoice may differ from estimated amounts. Clients should verify dimensions and values and consult us for clarifications before confirming shipment to ensure final charge accuracy.</t>
  </si>
  <si>
    <t>UAE</t>
  </si>
  <si>
    <t>CARGO VALUE</t>
  </si>
  <si>
    <t>CHARGEABLE WEIGHT</t>
  </si>
  <si>
    <t xml:space="preserve">ESTIMATE#: </t>
  </si>
  <si>
    <t>Storage</t>
  </si>
  <si>
    <t>Miami</t>
  </si>
  <si>
    <t>3511 NW 113 th Court Miami FL, 33178</t>
  </si>
  <si>
    <t>ESTIMATE</t>
  </si>
  <si>
    <t>Lawrenceville</t>
  </si>
  <si>
    <t>373 Downing St, Georgia, 30045</t>
  </si>
  <si>
    <t>Logo Placeholder</t>
  </si>
  <si>
    <t>UAE ENTITY</t>
  </si>
  <si>
    <t>Phone: 0000-0000000000</t>
  </si>
  <si>
    <t>Phone: 00000 00 000 0000</t>
  </si>
  <si>
    <t>Website: www.uaeentity.com</t>
  </si>
  <si>
    <t>UAE street address</t>
  </si>
  <si>
    <t>City, UAE.</t>
  </si>
  <si>
    <t>Customer-1</t>
  </si>
  <si>
    <t>Customer-2</t>
  </si>
  <si>
    <t>CTR01</t>
  </si>
  <si>
    <t>CTR02</t>
  </si>
  <si>
    <t>US</t>
  </si>
  <si>
    <t>US ENTITY</t>
  </si>
  <si>
    <t>US street address</t>
  </si>
  <si>
    <t>City, United States.</t>
  </si>
  <si>
    <t>Website: www.usentity.com</t>
  </si>
  <si>
    <t>UT60006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</si>
</sst>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USD]\ #,##0.00"/>
    <numFmt numFmtId="166" formatCode="#,##0.0\ &quot;cm&quot;"/>
    <numFmt numFmtId="167" formatCode="0.0\ &quot;kg&quot;"/>
    <numFmt numFmtId="168" formatCode="00.00\ &quot;cm&quot;"/>
    <numFmt numFmtId="169" formatCode="0.000%"/>
    <numFmt numFmtId="170" formatCode="_-[$USD]\ * #,##0.00_-;\-[$USD]\ * #,##0.00_-;_-[$USD]\ * &quot;-&quot;??_-;_-@_-"/>
  </numFmts>
  <fonts count="40">
    <font>
      <sz val="11"/>
      <color theme="1"/>
      <name val="Calibri"/>
      <family val="2"/>
    </font>
    <font>
      <sz val="11"/>
      <color theme="1"/>
      <name val="Calibri"/>
      <family val="2"/>
    </font>
    <font>
      <b/>
      <sz val="11"/>
      <color theme="0"/>
      <name val="Calibri"/>
      <family val="2"/>
    </font>
    <font>
      <b/>
      <sz val="11"/>
      <color theme="1"/>
      <name val="Calibri"/>
      <family val="2"/>
    </font>
    <font>
      <sz val="11"/>
      <name val="Calibri"/>
      <family val="2"/>
    </font>
    <font>
      <b/>
      <sz val="12"/>
      <color theme="0"/>
      <name val="Calibri"/>
      <family val="2"/>
    </font>
    <font>
      <sz val="9"/>
      <color indexed="81"/>
      <name val="Tahoma"/>
      <family val="2"/>
    </font>
    <font>
      <b/>
      <sz val="9"/>
      <color indexed="81"/>
      <name val="Tahoma"/>
      <family val="2"/>
    </font>
    <font>
      <b/>
      <sz val="11"/>
      <name val="Calibri"/>
      <family val="2"/>
    </font>
    <font>
      <b/>
      <sz val="14"/>
      <color theme="0"/>
      <name val="Calibri"/>
      <family val="2"/>
    </font>
    <font>
      <sz val="10"/>
      <name val="Trebuchet MS"/>
      <family val="2"/>
    </font>
    <font>
      <sz val="10"/>
      <name val="Aptos Narrow"/>
      <family val="2"/>
      <scheme val="minor"/>
    </font>
    <font>
      <sz val="10"/>
      <name val="Verdana"/>
      <family val="2"/>
    </font>
    <font>
      <u/>
      <sz val="10"/>
      <color indexed="12"/>
      <name val="Arial"/>
      <family val="2"/>
    </font>
    <font>
      <i/>
      <sz val="10"/>
      <name val="Aptos Narrow"/>
      <family val="2"/>
      <scheme val="minor"/>
    </font>
    <font>
      <b/>
      <sz val="11"/>
      <name val="Aptos Narrow"/>
      <family val="2"/>
      <scheme val="minor"/>
    </font>
    <font>
      <b/>
      <sz val="10"/>
      <name val="Aptos Narrow"/>
      <family val="2"/>
      <scheme val="minor"/>
    </font>
    <font>
      <b/>
      <i/>
      <sz val="12"/>
      <name val="Aptos Narrow"/>
      <family val="2"/>
      <scheme val="minor"/>
    </font>
    <font>
      <b/>
      <sz val="11"/>
      <color theme="0"/>
      <name val="Aptos Display"/>
      <family val="1"/>
      <scheme val="major"/>
    </font>
    <font>
      <sz val="14"/>
      <color rgb="FF000000"/>
      <name val="Calibri"/>
      <family val="2"/>
    </font>
    <font>
      <sz val="10"/>
      <color rgb="FFFF0000"/>
      <name val="Aptos Narrow"/>
      <family val="2"/>
      <scheme val="minor"/>
    </font>
    <font>
      <sz val="12"/>
      <color theme="1"/>
      <name val="Calibri"/>
      <family val="2"/>
    </font>
    <font>
      <b/>
      <sz val="12"/>
      <color theme="1"/>
      <name val="Calibri"/>
      <family val="2"/>
    </font>
    <font>
      <sz val="10"/>
      <name val="Calibri"/>
      <family val="2"/>
    </font>
    <font>
      <b/>
      <sz val="10"/>
      <color theme="0"/>
      <name val="Calibri"/>
      <family val="2"/>
    </font>
    <font>
      <b/>
      <sz val="10"/>
      <color theme="0"/>
      <name val="Aptos Narrow"/>
      <family val="2"/>
      <scheme val="minor"/>
    </font>
    <font>
      <b/>
      <sz val="16"/>
      <color theme="0"/>
      <name val="Arial"/>
      <family val="2"/>
    </font>
    <font>
      <b/>
      <sz val="14"/>
      <color theme="0"/>
      <name val="Aptos Display"/>
      <family val="1"/>
      <scheme val="major"/>
    </font>
    <font>
      <b/>
      <sz val="12"/>
      <color theme="0"/>
      <name val="Aptos Narrow"/>
      <family val="2"/>
      <scheme val="minor"/>
    </font>
    <font>
      <b/>
      <sz val="12"/>
      <color theme="0"/>
      <name val="Aptos Display"/>
      <family val="1"/>
      <scheme val="major"/>
    </font>
    <font>
      <sz val="8"/>
      <color rgb="FFFF0000"/>
      <name val="Aptos Narrow"/>
      <family val="2"/>
      <scheme val="minor"/>
    </font>
    <font>
      <sz val="8"/>
      <color rgb="FFFF0000"/>
      <name val="Verdana"/>
      <family val="2"/>
      <charset val="2"/>
    </font>
    <font>
      <u/>
      <sz val="10"/>
      <color rgb="FFFF0000"/>
      <name val="Aptos Narrow"/>
      <family val="2"/>
      <scheme val="minor"/>
    </font>
    <font>
      <sz val="9"/>
      <color rgb="FFFF0000"/>
      <name val="Arial"/>
      <family val="2"/>
    </font>
    <font>
      <sz val="12"/>
      <color theme="1"/>
      <name val="Aptos Narrow"/>
      <family val="2"/>
      <scheme val="minor"/>
    </font>
    <font>
      <sz val="10"/>
      <color theme="1"/>
      <name val="Aptos Narrow"/>
      <family val="2"/>
      <scheme val="minor"/>
    </font>
    <font>
      <sz val="10"/>
      <color theme="0"/>
      <name val="Aptos Narrow"/>
      <family val="2"/>
      <scheme val="minor"/>
    </font>
    <font>
      <b/>
      <sz val="12"/>
      <color theme="3" tint="-0.249977111117893"/>
      <name val="Aptos Narrow"/>
      <family val="2"/>
      <scheme val="minor"/>
    </font>
    <font>
      <b/>
      <sz val="22"/>
      <color theme="0"/>
      <name val="Aptos Narrow"/>
      <family val="2"/>
      <scheme val="minor"/>
    </font>
    <font>
      <b/>
      <sz val="20"/>
      <color theme="0"/>
      <name val="Aptos Narrow"/>
      <family val="2"/>
      <scheme val="minor"/>
    </font>
  </fonts>
  <fills count="17">
    <fill>
      <patternFill patternType="none"/>
    </fill>
    <fill>
      <patternFill patternType="gray125"/>
    </fill>
    <fill>
      <patternFill patternType="solid">
        <fgColor rgb="FF0C2F42"/>
        <bgColor indexed="64"/>
      </patternFill>
    </fill>
    <fill>
      <patternFill patternType="solid">
        <fgColor rgb="FFE6E6E6"/>
        <bgColor indexed="64"/>
      </patternFill>
    </fill>
    <fill>
      <patternFill patternType="solid">
        <fgColor rgb="FFF5F2F2"/>
        <bgColor indexed="64"/>
      </patternFill>
    </fill>
    <fill>
      <patternFill patternType="solid">
        <fgColor rgb="FFEDEDED"/>
        <bgColor indexed="64"/>
      </patternFill>
    </fill>
    <fill>
      <patternFill patternType="solid">
        <fgColor rgb="FFF6F6F6"/>
        <bgColor indexed="64"/>
      </patternFill>
    </fill>
    <fill>
      <gradientFill degree="270">
        <stop position="0">
          <color rgb="FFEDEDED"/>
        </stop>
        <stop position="1">
          <color rgb="FFFBF9F9"/>
        </stop>
      </gradientFill>
    </fill>
    <fill>
      <patternFill patternType="solid">
        <fgColor theme="0" tint="-4.9989318521683403E-2"/>
        <bgColor indexed="64"/>
      </patternFill>
    </fill>
    <fill>
      <patternFill patternType="solid">
        <fgColor rgb="FF001B69"/>
        <bgColor indexed="64"/>
      </patternFill>
    </fill>
    <fill>
      <patternFill patternType="solid">
        <fgColor rgb="FF15253F"/>
        <bgColor auto="1"/>
      </patternFill>
    </fill>
    <fill>
      <patternFill patternType="solid">
        <fgColor rgb="FF15253F"/>
        <bgColor indexed="64"/>
      </patternFill>
    </fill>
    <fill>
      <patternFill patternType="solid">
        <fgColor rgb="FFEAF0F6"/>
        <bgColor indexed="64"/>
      </patternFill>
    </fill>
    <fill>
      <patternFill patternType="solid">
        <fgColor rgb="FFC9082A"/>
        <bgColor auto="1"/>
      </patternFill>
    </fill>
    <fill>
      <patternFill patternType="solid">
        <fgColor rgb="FFC9082A"/>
        <bgColor indexed="64"/>
      </patternFill>
    </fill>
    <fill>
      <patternFill patternType="solid">
        <fgColor rgb="FFE6ECF5"/>
        <bgColor indexed="64"/>
      </patternFill>
    </fill>
    <fill>
      <patternFill patternType="solid">
        <fgColor theme="5" tint="0.59999389629810485"/>
        <bgColor indexed="64"/>
      </patternFill>
    </fill>
  </fills>
  <borders count="32">
    <border>
      <left/>
      <right/>
      <top/>
      <bottom/>
      <diagonal/>
    </border>
    <border>
      <left/>
      <right/>
      <top/>
      <bottom style="thin">
        <color theme="0"/>
      </bottom>
      <diagonal/>
    </border>
    <border>
      <left/>
      <right/>
      <top/>
      <bottom style="double">
        <color indexed="64"/>
      </bottom>
      <diagonal/>
    </border>
    <border>
      <left/>
      <right/>
      <top style="thin">
        <color theme="4"/>
      </top>
      <bottom/>
      <diagonal/>
    </border>
    <border>
      <left style="hair">
        <color rgb="FF15253F"/>
      </left>
      <right/>
      <top style="hair">
        <color rgb="FF15253F"/>
      </top>
      <bottom style="hair">
        <color rgb="FF15253F"/>
      </bottom>
      <diagonal/>
    </border>
    <border>
      <left/>
      <right style="hair">
        <color rgb="FF15253F"/>
      </right>
      <top style="hair">
        <color rgb="FF15253F"/>
      </top>
      <bottom style="hair">
        <color rgb="FF15253F"/>
      </bottom>
      <diagonal/>
    </border>
    <border>
      <left style="thin">
        <color rgb="FF159497"/>
      </left>
      <right/>
      <top style="thin">
        <color rgb="FF159497"/>
      </top>
      <bottom style="thin">
        <color theme="0"/>
      </bottom>
      <diagonal/>
    </border>
    <border>
      <left/>
      <right style="thin">
        <color rgb="FF159497"/>
      </right>
      <top style="thin">
        <color rgb="FF159497"/>
      </top>
      <bottom style="thin">
        <color theme="0"/>
      </bottom>
      <diagonal/>
    </border>
    <border>
      <left style="hair">
        <color rgb="FF15253F"/>
      </left>
      <right style="hair">
        <color rgb="FF15253F"/>
      </right>
      <top style="hair">
        <color rgb="FF15253F"/>
      </top>
      <bottom style="hair">
        <color rgb="FF15253F"/>
      </bottom>
      <diagonal/>
    </border>
    <border>
      <left/>
      <right/>
      <top/>
      <bottom style="hair">
        <color rgb="FF15253F"/>
      </bottom>
      <diagonal/>
    </border>
    <border>
      <left style="hair">
        <color rgb="FF15253F"/>
      </left>
      <right style="hair">
        <color theme="0" tint="-0.499984740745262"/>
      </right>
      <top style="hair">
        <color rgb="FF15253F"/>
      </top>
      <bottom style="hair">
        <color theme="0" tint="-0.499984740745262"/>
      </bottom>
      <diagonal/>
    </border>
    <border>
      <left style="hair">
        <color theme="0" tint="-0.499984740745262"/>
      </left>
      <right style="hair">
        <color rgb="FF15253F"/>
      </right>
      <top style="hair">
        <color rgb="FF15253F"/>
      </top>
      <bottom style="hair">
        <color theme="0" tint="-0.499984740745262"/>
      </bottom>
      <diagonal/>
    </border>
    <border>
      <left style="hair">
        <color rgb="FF15253F"/>
      </left>
      <right style="hair">
        <color theme="0" tint="-0.499984740745262"/>
      </right>
      <top style="hair">
        <color theme="0" tint="-0.499984740745262"/>
      </top>
      <bottom style="hair">
        <color theme="0" tint="-0.499984740745262"/>
      </bottom>
      <diagonal/>
    </border>
    <border>
      <left style="hair">
        <color theme="0" tint="-0.499984740745262"/>
      </left>
      <right style="hair">
        <color rgb="FF15253F"/>
      </right>
      <top style="hair">
        <color theme="0" tint="-0.499984740745262"/>
      </top>
      <bottom style="hair">
        <color theme="0" tint="-0.499984740745262"/>
      </bottom>
      <diagonal/>
    </border>
    <border>
      <left style="hair">
        <color rgb="FF15253F"/>
      </left>
      <right style="hair">
        <color theme="0" tint="-0.499984740745262"/>
      </right>
      <top style="hair">
        <color theme="0" tint="-0.499984740745262"/>
      </top>
      <bottom style="hair">
        <color rgb="FF15253F"/>
      </bottom>
      <diagonal/>
    </border>
    <border>
      <left style="hair">
        <color theme="0" tint="-0.499984740745262"/>
      </left>
      <right style="hair">
        <color rgb="FF15253F"/>
      </right>
      <top style="hair">
        <color theme="0" tint="-0.499984740745262"/>
      </top>
      <bottom style="hair">
        <color rgb="FF15253F"/>
      </bottom>
      <diagonal/>
    </border>
    <border>
      <left/>
      <right/>
      <top style="thin">
        <color theme="0"/>
      </top>
      <bottom/>
      <diagonal/>
    </border>
    <border>
      <left style="hair">
        <color rgb="FF0C2F42"/>
      </left>
      <right style="hair">
        <color theme="0" tint="-0.499984740745262"/>
      </right>
      <top style="hair">
        <color theme="0" tint="-0.499984740745262"/>
      </top>
      <bottom style="hair">
        <color theme="0" tint="-0.499984740745262"/>
      </bottom>
      <diagonal/>
    </border>
    <border>
      <left style="hair">
        <color theme="0" tint="-0.499984740745262"/>
      </left>
      <right style="hair">
        <color rgb="FF0C2F42"/>
      </right>
      <top style="hair">
        <color theme="0" tint="-0.499984740745262"/>
      </top>
      <bottom style="hair">
        <color theme="0" tint="-0.499984740745262"/>
      </bottom>
      <diagonal/>
    </border>
    <border>
      <left style="hair">
        <color rgb="FF0C2F42"/>
      </left>
      <right style="hair">
        <color theme="0" tint="-0.499984740745262"/>
      </right>
      <top style="hair">
        <color theme="0" tint="-0.499984740745262"/>
      </top>
      <bottom style="hair">
        <color rgb="FF0C2F42"/>
      </bottom>
      <diagonal/>
    </border>
    <border>
      <left style="hair">
        <color rgb="FF15253F"/>
      </left>
      <right/>
      <top/>
      <bottom/>
      <diagonal/>
    </border>
    <border>
      <left/>
      <right/>
      <top style="hair">
        <color rgb="FF15253F"/>
      </top>
      <bottom style="hair">
        <color rgb="FF15253F"/>
      </bottom>
      <diagonal/>
    </border>
    <border>
      <left style="hair">
        <color rgb="FF15253F"/>
      </left>
      <right style="hair">
        <color rgb="FF15253F"/>
      </right>
      <top style="hair">
        <color rgb="FF15253F"/>
      </top>
      <bottom style="double">
        <color indexed="64"/>
      </bottom>
      <diagonal/>
    </border>
    <border>
      <left style="hair">
        <color rgb="FF15253F"/>
      </left>
      <right/>
      <top style="hair">
        <color rgb="FF15253F"/>
      </top>
      <bottom style="thin">
        <color theme="4"/>
      </bottom>
      <diagonal/>
    </border>
    <border>
      <left/>
      <right/>
      <top style="hair">
        <color rgb="FF15253F"/>
      </top>
      <bottom style="thin">
        <color theme="4"/>
      </bottom>
      <diagonal/>
    </border>
    <border>
      <left/>
      <right style="hair">
        <color rgb="FF15253F"/>
      </right>
      <top style="hair">
        <color rgb="FF15253F"/>
      </top>
      <bottom style="thin">
        <color theme="4"/>
      </bottom>
      <diagonal/>
    </border>
    <border>
      <left style="hair">
        <color rgb="FF15253F"/>
      </left>
      <right/>
      <top style="thin">
        <color theme="4"/>
      </top>
      <bottom/>
      <diagonal/>
    </border>
    <border>
      <left/>
      <right style="hair">
        <color rgb="FF15253F"/>
      </right>
      <top style="thin">
        <color theme="4"/>
      </top>
      <bottom/>
      <diagonal/>
    </border>
    <border>
      <left/>
      <right style="hair">
        <color rgb="FF15253F"/>
      </right>
      <top/>
      <bottom/>
      <diagonal/>
    </border>
    <border>
      <left style="hair">
        <color rgb="FF15253F"/>
      </left>
      <right/>
      <top/>
      <bottom style="hair">
        <color rgb="FF15253F"/>
      </bottom>
      <diagonal/>
    </border>
    <border>
      <left/>
      <right style="hair">
        <color rgb="FF15253F"/>
      </right>
      <top/>
      <bottom style="hair">
        <color rgb="FF15253F"/>
      </bottom>
      <diagonal/>
    </border>
    <border>
      <left/>
      <right style="hair">
        <color rgb="FF15253F"/>
      </right>
      <top/>
      <bottom style="double">
        <color rgb="FF15253F"/>
      </bottom>
      <diagonal/>
    </border>
  </borders>
  <cellStyleXfs count="6">
    <xf numFmtId="0" fontId="0" fillId="0" borderId="0"/>
    <xf numFmtId="9" fontId="1" fillId="0" borderId="0" applyFont="0" applyFill="0" applyBorder="0" applyAlignment="0" applyProtection="0"/>
    <xf numFmtId="0" fontId="10" fillId="0" borderId="0"/>
    <xf numFmtId="164" fontId="12" fillId="0" borderId="0" applyFont="0" applyFill="0" applyBorder="0" applyAlignment="0" applyProtection="0"/>
    <xf numFmtId="0" fontId="13" fillId="0" borderId="0" applyNumberFormat="0" applyFill="0" applyBorder="0" applyAlignment="0" applyProtection="0">
      <alignment vertical="top"/>
      <protection locked="0"/>
    </xf>
    <xf numFmtId="0" fontId="34" fillId="0" borderId="0"/>
  </cellStyleXfs>
  <cellXfs count="146">
    <xf numFmtId="0" fontId="0" fillId="0" borderId="0" xfId="0"/>
    <xf numFmtId="0" fontId="0" fillId="0" borderId="0" xfId="0" applyAlignment="1">
      <alignment horizontal="center" vertical="center"/>
    </xf>
    <xf numFmtId="0" fontId="0" fillId="0" borderId="0" xfId="0" applyAlignment="1" applyProtection="1">
      <alignment horizontal="left" vertical="center" indent="1"/>
      <protection locked="0"/>
    </xf>
    <xf numFmtId="0" fontId="0" fillId="0" borderId="0" xfId="0" applyProtection="1">
      <protection locked="0"/>
    </xf>
    <xf numFmtId="0" fontId="4" fillId="0" borderId="0" xfId="0" applyFont="1" applyProtection="1">
      <protection locked="0"/>
    </xf>
    <xf numFmtId="0" fontId="3" fillId="0" borderId="0" xfId="0" applyFont="1" applyProtection="1">
      <protection locked="0"/>
    </xf>
    <xf numFmtId="0" fontId="0" fillId="0" borderId="0" xfId="0" applyAlignment="1" applyProtection="1">
      <alignment horizontal="left" vertical="center" wrapText="1" indent="1"/>
      <protection locked="0"/>
    </xf>
    <xf numFmtId="20" fontId="0" fillId="0" borderId="0" xfId="0" applyNumberFormat="1" applyProtection="1">
      <protection locked="0"/>
    </xf>
    <xf numFmtId="0" fontId="0" fillId="0" borderId="0" xfId="0"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vertical="center" wrapText="1"/>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vertical="center"/>
      <protection locked="0"/>
    </xf>
    <xf numFmtId="0" fontId="0" fillId="0" borderId="0" xfId="0" quotePrefix="1" applyProtection="1">
      <protection locked="0"/>
    </xf>
    <xf numFmtId="0" fontId="11" fillId="0" borderId="0" xfId="2" applyFont="1"/>
    <xf numFmtId="0" fontId="11" fillId="0" borderId="0" xfId="2" applyFont="1" applyProtection="1">
      <protection locked="0"/>
    </xf>
    <xf numFmtId="0" fontId="0" fillId="0" borderId="0" xfId="0" quotePrefix="1" applyAlignment="1" applyProtection="1">
      <alignment vertical="center"/>
      <protection locked="0"/>
    </xf>
    <xf numFmtId="0" fontId="20" fillId="0" borderId="0" xfId="2" applyFont="1" applyProtection="1">
      <protection locked="0"/>
    </xf>
    <xf numFmtId="0" fontId="23" fillId="0" borderId="0" xfId="2" applyFont="1" applyProtection="1">
      <protection locked="0"/>
    </xf>
    <xf numFmtId="14" fontId="11" fillId="8" borderId="8" xfId="2" applyNumberFormat="1" applyFont="1" applyFill="1" applyBorder="1" applyAlignment="1" applyProtection="1">
      <alignment horizontal="center" vertical="center"/>
      <protection locked="0"/>
    </xf>
    <xf numFmtId="14" fontId="11" fillId="8" borderId="8" xfId="2" applyNumberFormat="1" applyFont="1" applyFill="1" applyBorder="1" applyAlignment="1">
      <alignment horizontal="center" vertical="center"/>
    </xf>
    <xf numFmtId="0" fontId="5" fillId="10" borderId="8" xfId="0" applyFont="1" applyFill="1" applyBorder="1" applyAlignment="1" applyProtection="1">
      <alignment horizontal="center" vertical="center" wrapText="1"/>
      <protection locked="0"/>
    </xf>
    <xf numFmtId="0" fontId="21" fillId="3" borderId="10" xfId="0" applyFont="1" applyFill="1" applyBorder="1" applyAlignment="1" applyProtection="1">
      <alignment horizontal="left" vertical="center" wrapText="1" indent="1"/>
      <protection locked="0"/>
    </xf>
    <xf numFmtId="165" fontId="21" fillId="4" borderId="11" xfId="0" applyNumberFormat="1" applyFont="1" applyFill="1" applyBorder="1" applyAlignment="1">
      <alignment horizontal="center" vertical="center" wrapText="1"/>
    </xf>
    <xf numFmtId="0" fontId="21" fillId="5" borderId="12" xfId="0" applyFont="1" applyFill="1" applyBorder="1" applyAlignment="1" applyProtection="1">
      <alignment horizontal="left" vertical="center" wrapText="1" indent="3"/>
      <protection locked="0"/>
    </xf>
    <xf numFmtId="165" fontId="21" fillId="4" borderId="13" xfId="0" applyNumberFormat="1" applyFont="1" applyFill="1" applyBorder="1" applyAlignment="1" applyProtection="1">
      <alignment horizontal="center" vertical="center" wrapText="1"/>
      <protection locked="0"/>
    </xf>
    <xf numFmtId="0" fontId="21" fillId="3" borderId="12" xfId="0" applyFont="1" applyFill="1" applyBorder="1" applyAlignment="1" applyProtection="1">
      <alignment horizontal="left" vertical="center" wrapText="1" indent="1"/>
      <protection locked="0"/>
    </xf>
    <xf numFmtId="165" fontId="21" fillId="4" borderId="13" xfId="0" applyNumberFormat="1" applyFont="1" applyFill="1" applyBorder="1" applyAlignment="1">
      <alignment horizontal="center" vertical="center" wrapText="1"/>
    </xf>
    <xf numFmtId="166" fontId="21" fillId="4" borderId="13" xfId="0" applyNumberFormat="1" applyFont="1" applyFill="1" applyBorder="1" applyAlignment="1">
      <alignment horizontal="center" vertical="center" wrapText="1"/>
    </xf>
    <xf numFmtId="0" fontId="21" fillId="6" borderId="12" xfId="0" applyFont="1" applyFill="1" applyBorder="1" applyAlignment="1" applyProtection="1">
      <alignment horizontal="right" vertical="center" wrapText="1" indent="1"/>
      <protection locked="0"/>
    </xf>
    <xf numFmtId="167" fontId="21" fillId="4" borderId="13" xfId="0" applyNumberFormat="1" applyFont="1" applyFill="1" applyBorder="1" applyAlignment="1">
      <alignment horizontal="center" vertical="center" wrapText="1"/>
    </xf>
    <xf numFmtId="0" fontId="22" fillId="3" borderId="14" xfId="0" applyFont="1" applyFill="1" applyBorder="1" applyAlignment="1" applyProtection="1">
      <alignment horizontal="left" vertical="center" wrapText="1" indent="1"/>
      <protection locked="0"/>
    </xf>
    <xf numFmtId="165" fontId="5" fillId="11" borderId="15" xfId="0" applyNumberFormat="1" applyFont="1" applyFill="1" applyBorder="1" applyAlignment="1">
      <alignment horizontal="center" vertical="center" wrapText="1"/>
    </xf>
    <xf numFmtId="0" fontId="18" fillId="0" borderId="0" xfId="2" applyFont="1" applyAlignment="1">
      <alignment horizontal="left"/>
    </xf>
    <xf numFmtId="0" fontId="16" fillId="12" borderId="8" xfId="2" applyFont="1" applyFill="1" applyBorder="1" applyAlignment="1">
      <alignment horizontal="center" vertical="center"/>
    </xf>
    <xf numFmtId="0" fontId="23" fillId="0" borderId="0" xfId="2" applyFont="1" applyAlignment="1" applyProtection="1">
      <alignment horizontal="left" vertical="center"/>
      <protection locked="0"/>
    </xf>
    <xf numFmtId="0" fontId="18" fillId="2" borderId="8" xfId="2" applyFont="1" applyFill="1" applyBorder="1" applyAlignment="1">
      <alignment horizontal="left" vertical="center" indent="1"/>
    </xf>
    <xf numFmtId="164" fontId="11" fillId="0" borderId="8" xfId="3" applyFont="1" applyBorder="1" applyAlignment="1" applyProtection="1">
      <alignment horizontal="left" vertical="center" indent="1"/>
      <protection locked="0"/>
    </xf>
    <xf numFmtId="0" fontId="27" fillId="14" borderId="0" xfId="2" applyFont="1" applyFill="1" applyAlignment="1">
      <alignment horizontal="right" vertical="center"/>
    </xf>
    <xf numFmtId="164" fontId="11" fillId="0" borderId="0" xfId="2" applyNumberFormat="1" applyFont="1" applyAlignment="1">
      <alignment vertical="center"/>
    </xf>
    <xf numFmtId="169" fontId="11" fillId="0" borderId="8" xfId="2" applyNumberFormat="1" applyFont="1" applyBorder="1" applyAlignment="1" applyProtection="1">
      <alignment vertical="center"/>
      <protection locked="0"/>
    </xf>
    <xf numFmtId="164" fontId="11" fillId="0" borderId="22" xfId="2" applyNumberFormat="1" applyFont="1" applyBorder="1" applyAlignment="1" applyProtection="1">
      <alignment vertical="center"/>
      <protection locked="0"/>
    </xf>
    <xf numFmtId="0" fontId="11" fillId="0" borderId="0" xfId="2" applyFont="1" applyAlignment="1">
      <alignment horizontal="right" vertical="center" indent="1"/>
    </xf>
    <xf numFmtId="0" fontId="11" fillId="0" borderId="2" xfId="2" applyFont="1" applyBorder="1" applyAlignment="1">
      <alignment horizontal="right" vertical="center" indent="1"/>
    </xf>
    <xf numFmtId="0" fontId="15" fillId="0" borderId="0" xfId="2" applyFont="1" applyAlignment="1">
      <alignment horizontal="right" vertical="center" indent="1"/>
    </xf>
    <xf numFmtId="170" fontId="28" fillId="11" borderId="0" xfId="2" applyNumberFormat="1" applyFont="1" applyFill="1" applyAlignment="1">
      <alignment vertical="center"/>
    </xf>
    <xf numFmtId="0" fontId="20" fillId="0" borderId="0" xfId="2" applyFont="1"/>
    <xf numFmtId="0" fontId="30" fillId="0" borderId="0" xfId="3" applyNumberFormat="1" applyFont="1" applyFill="1" applyAlignment="1">
      <alignment horizontal="left"/>
    </xf>
    <xf numFmtId="0" fontId="31" fillId="0" borderId="0" xfId="2" applyFont="1" applyAlignment="1">
      <alignment vertical="center"/>
    </xf>
    <xf numFmtId="0" fontId="32" fillId="0" borderId="0" xfId="4" applyFont="1" applyAlignment="1" applyProtection="1"/>
    <xf numFmtId="0" fontId="33" fillId="0" borderId="0" xfId="2" applyFont="1" applyAlignment="1">
      <alignment vertical="center"/>
    </xf>
    <xf numFmtId="0" fontId="29" fillId="0" borderId="0" xfId="2" applyFont="1" applyAlignment="1">
      <alignment vertical="center"/>
    </xf>
    <xf numFmtId="0" fontId="11" fillId="0" borderId="0" xfId="2" applyFont="1" applyAlignment="1" applyProtection="1">
      <alignment vertical="center"/>
      <protection locked="0"/>
    </xf>
    <xf numFmtId="0" fontId="14" fillId="0" borderId="0" xfId="2" applyFont="1" applyAlignment="1" applyProtection="1">
      <alignment vertical="center"/>
      <protection locked="0"/>
    </xf>
    <xf numFmtId="0" fontId="11" fillId="0" borderId="0" xfId="2" applyFont="1" applyAlignment="1" applyProtection="1">
      <alignment vertical="top"/>
      <protection locked="0"/>
    </xf>
    <xf numFmtId="0" fontId="16" fillId="0" borderId="0" xfId="2" applyFont="1" applyAlignment="1" applyProtection="1">
      <alignment vertical="top"/>
      <protection locked="0"/>
    </xf>
    <xf numFmtId="0" fontId="34" fillId="0" borderId="0" xfId="5"/>
    <xf numFmtId="0" fontId="35" fillId="0" borderId="0" xfId="5" applyFont="1"/>
    <xf numFmtId="0" fontId="34" fillId="0" borderId="0" xfId="5" applyAlignment="1">
      <alignment horizontal="left" vertical="center" indent="1"/>
    </xf>
    <xf numFmtId="0" fontId="35" fillId="0" borderId="0" xfId="5" applyFont="1" applyAlignment="1">
      <alignment horizontal="left" vertical="center" indent="1"/>
    </xf>
    <xf numFmtId="0" fontId="37" fillId="0" borderId="0" xfId="5" applyFont="1" applyAlignment="1">
      <alignment horizontal="right" indent="1"/>
    </xf>
    <xf numFmtId="0" fontId="5" fillId="11" borderId="8" xfId="0" applyFont="1" applyFill="1" applyBorder="1" applyAlignment="1" applyProtection="1">
      <alignment horizontal="left" vertical="center" wrapText="1" indent="1"/>
      <protection locked="0"/>
    </xf>
    <xf numFmtId="0" fontId="39" fillId="14" borderId="8" xfId="5" applyFont="1" applyFill="1" applyBorder="1" applyAlignment="1">
      <alignment vertical="center"/>
    </xf>
    <xf numFmtId="0" fontId="25" fillId="11" borderId="8" xfId="5" applyFont="1" applyFill="1" applyBorder="1" applyAlignment="1">
      <alignment horizontal="left" vertical="center" indent="1"/>
    </xf>
    <xf numFmtId="0" fontId="25" fillId="11" borderId="8" xfId="5" applyFont="1" applyFill="1" applyBorder="1" applyAlignment="1">
      <alignment horizontal="left" vertical="center" wrapText="1" indent="1"/>
    </xf>
    <xf numFmtId="0" fontId="11" fillId="8" borderId="8" xfId="5" applyFont="1" applyFill="1" applyBorder="1" applyAlignment="1">
      <alignment horizontal="left" vertical="center" wrapText="1" indent="1"/>
    </xf>
    <xf numFmtId="0" fontId="11" fillId="15" borderId="8" xfId="5" applyFont="1" applyFill="1" applyBorder="1" applyAlignment="1">
      <alignment horizontal="left" vertical="center" wrapText="1" indent="1"/>
    </xf>
    <xf numFmtId="0" fontId="11" fillId="0" borderId="8" xfId="5" applyFont="1" applyBorder="1" applyAlignment="1">
      <alignment horizontal="left" vertical="center" wrapText="1" indent="1"/>
    </xf>
    <xf numFmtId="9" fontId="11" fillId="0" borderId="8" xfId="1" applyFont="1" applyBorder="1" applyAlignment="1">
      <alignment horizontal="left" vertical="center" wrapText="1" indent="1"/>
    </xf>
    <xf numFmtId="9" fontId="11" fillId="0" borderId="8" xfId="1" applyFont="1" applyFill="1" applyBorder="1" applyAlignment="1">
      <alignment horizontal="left" vertical="center" wrapText="1" indent="1"/>
    </xf>
    <xf numFmtId="0" fontId="3" fillId="0" borderId="0" xfId="0" applyFont="1"/>
    <xf numFmtId="0" fontId="2" fillId="11" borderId="0" xfId="0" applyFont="1" applyFill="1"/>
    <xf numFmtId="165" fontId="11" fillId="8" borderId="8" xfId="2" applyNumberFormat="1" applyFont="1" applyFill="1" applyBorder="1" applyAlignment="1" applyProtection="1">
      <alignment horizontal="center" vertical="center"/>
      <protection locked="0"/>
    </xf>
    <xf numFmtId="167" fontId="11" fillId="8" borderId="8" xfId="2" applyNumberFormat="1" applyFont="1" applyFill="1" applyBorder="1" applyAlignment="1">
      <alignment horizontal="center" vertical="center"/>
    </xf>
    <xf numFmtId="0" fontId="22" fillId="8" borderId="18" xfId="0" applyFont="1" applyFill="1" applyBorder="1" applyAlignment="1" applyProtection="1">
      <alignment horizontal="left" vertical="center" wrapText="1" indent="1"/>
      <protection locked="0"/>
    </xf>
    <xf numFmtId="0" fontId="5" fillId="11" borderId="17" xfId="0" applyFont="1" applyFill="1" applyBorder="1" applyAlignment="1" applyProtection="1">
      <alignment horizontal="left" vertical="center" wrapText="1" indent="1"/>
      <protection locked="0"/>
    </xf>
    <xf numFmtId="0" fontId="5" fillId="11" borderId="19" xfId="0" applyFont="1" applyFill="1" applyBorder="1" applyAlignment="1" applyProtection="1">
      <alignment horizontal="left" vertical="center" wrapText="1" indent="1"/>
      <protection locked="0"/>
    </xf>
    <xf numFmtId="0" fontId="11" fillId="0" borderId="31" xfId="2" applyFont="1" applyBorder="1" applyAlignment="1" applyProtection="1">
      <alignment vertical="center"/>
      <protection locked="0"/>
    </xf>
    <xf numFmtId="0" fontId="22" fillId="5" borderId="12" xfId="0" applyFont="1" applyFill="1" applyBorder="1" applyAlignment="1" applyProtection="1">
      <alignment horizontal="left" vertical="center" wrapText="1" indent="3"/>
      <protection locked="0"/>
    </xf>
    <xf numFmtId="0" fontId="3" fillId="0" borderId="0" xfId="0" applyFont="1" applyAlignment="1" applyProtection="1">
      <alignment vertical="center"/>
      <protection locked="0"/>
    </xf>
    <xf numFmtId="165" fontId="22" fillId="16" borderId="13" xfId="0" applyNumberFormat="1" applyFont="1" applyFill="1" applyBorder="1" applyAlignment="1" applyProtection="1">
      <alignment horizontal="center" vertical="center" wrapText="1"/>
      <protection locked="0"/>
    </xf>
    <xf numFmtId="167" fontId="21" fillId="16" borderId="13" xfId="0" applyNumberFormat="1" applyFont="1" applyFill="1" applyBorder="1" applyAlignment="1" applyProtection="1">
      <alignment horizontal="center" vertical="center" wrapText="1"/>
      <protection locked="0"/>
    </xf>
    <xf numFmtId="0" fontId="27" fillId="14" borderId="0" xfId="2" applyFont="1" applyFill="1" applyAlignment="1">
      <alignment horizontal="center" vertical="center"/>
    </xf>
    <xf numFmtId="168" fontId="21" fillId="16" borderId="13" xfId="0" applyNumberFormat="1" applyFont="1" applyFill="1" applyBorder="1" applyAlignment="1" applyProtection="1">
      <alignment horizontal="center" vertical="center" wrapText="1"/>
      <protection locked="0"/>
    </xf>
    <xf numFmtId="0" fontId="9" fillId="9" borderId="6" xfId="0" applyFont="1" applyFill="1" applyBorder="1" applyAlignment="1" applyProtection="1">
      <alignment horizontal="left" vertical="center" wrapText="1" indent="1"/>
      <protection locked="0"/>
    </xf>
    <xf numFmtId="0" fontId="9" fillId="9" borderId="7" xfId="0" applyFont="1" applyFill="1" applyBorder="1" applyAlignment="1" applyProtection="1">
      <alignment horizontal="left" vertical="center" wrapText="1" indent="1"/>
      <protection locked="0"/>
    </xf>
    <xf numFmtId="0" fontId="0" fillId="0" borderId="0" xfId="0" applyAlignment="1" applyProtection="1">
      <alignment vertical="center" wrapText="1"/>
      <protection locked="0"/>
    </xf>
    <xf numFmtId="0" fontId="4" fillId="7" borderId="4" xfId="0" applyFont="1" applyFill="1" applyBorder="1" applyAlignment="1" applyProtection="1">
      <alignment horizontal="left" vertical="center" wrapText="1" indent="1"/>
      <protection locked="0"/>
    </xf>
    <xf numFmtId="0" fontId="4" fillId="7" borderId="5" xfId="0" applyFont="1" applyFill="1" applyBorder="1" applyAlignment="1" applyProtection="1">
      <alignment horizontal="left" vertical="center" wrapText="1" indent="1"/>
      <protection locked="0"/>
    </xf>
    <xf numFmtId="0" fontId="5" fillId="9" borderId="4" xfId="0" applyFont="1" applyFill="1" applyBorder="1" applyAlignment="1" applyProtection="1">
      <alignment horizontal="left" vertical="center" wrapText="1" indent="1"/>
      <protection locked="0"/>
    </xf>
    <xf numFmtId="0" fontId="5" fillId="9" borderId="5" xfId="0" applyFont="1" applyFill="1" applyBorder="1" applyAlignment="1" applyProtection="1">
      <alignment horizontal="left" vertical="center" wrapText="1" indent="1"/>
      <protection locked="0"/>
    </xf>
    <xf numFmtId="0" fontId="5" fillId="0" borderId="16" xfId="0" applyFont="1" applyBorder="1" applyAlignment="1" applyProtection="1">
      <alignment horizontal="left" vertical="center" wrapText="1" indent="1"/>
      <protection locked="0"/>
    </xf>
    <xf numFmtId="0" fontId="5" fillId="0" borderId="9" xfId="0" applyFont="1" applyBorder="1" applyAlignment="1" applyProtection="1">
      <alignment horizontal="left" vertical="center" wrapText="1" indent="1"/>
      <protection locked="0"/>
    </xf>
    <xf numFmtId="0" fontId="0" fillId="0" borderId="0" xfId="0" applyAlignment="1" applyProtection="1">
      <alignment horizontal="left"/>
      <protection locked="0"/>
    </xf>
    <xf numFmtId="0" fontId="11" fillId="0" borderId="0" xfId="2" applyFont="1" applyAlignment="1">
      <alignment horizontal="center" vertical="center"/>
    </xf>
    <xf numFmtId="0" fontId="16" fillId="0" borderId="20" xfId="2" applyFont="1" applyBorder="1" applyAlignment="1" applyProtection="1">
      <alignment horizontal="left" vertical="top" indent="1"/>
      <protection locked="0"/>
    </xf>
    <xf numFmtId="0" fontId="16" fillId="0" borderId="0" xfId="2" applyFont="1" applyAlignment="1" applyProtection="1">
      <alignment horizontal="left" vertical="top" indent="1"/>
      <protection locked="0"/>
    </xf>
    <xf numFmtId="0" fontId="16" fillId="0" borderId="28" xfId="2" applyFont="1" applyBorder="1" applyAlignment="1" applyProtection="1">
      <alignment horizontal="left" vertical="top" indent="1"/>
      <protection locked="0"/>
    </xf>
    <xf numFmtId="0" fontId="11" fillId="0" borderId="8" xfId="2" applyFont="1" applyBorder="1" applyAlignment="1" applyProtection="1">
      <alignment horizontal="left" vertical="center" indent="1"/>
      <protection locked="0"/>
    </xf>
    <xf numFmtId="0" fontId="11" fillId="9" borderId="0" xfId="2" applyFont="1" applyFill="1"/>
    <xf numFmtId="0" fontId="11" fillId="0" borderId="20" xfId="2" applyFont="1" applyBorder="1" applyAlignment="1" applyProtection="1">
      <alignment horizontal="left" vertical="top" indent="1"/>
      <protection locked="0"/>
    </xf>
    <xf numFmtId="0" fontId="11" fillId="0" borderId="0" xfId="2" applyFont="1" applyAlignment="1" applyProtection="1">
      <alignment horizontal="left" vertical="top" indent="1"/>
      <protection locked="0"/>
    </xf>
    <xf numFmtId="0" fontId="11" fillId="0" borderId="28" xfId="2" applyFont="1" applyBorder="1" applyAlignment="1" applyProtection="1">
      <alignment horizontal="left" vertical="top" indent="1"/>
      <protection locked="0"/>
    </xf>
    <xf numFmtId="0" fontId="11" fillId="0" borderId="29" xfId="2" applyFont="1" applyBorder="1" applyAlignment="1" applyProtection="1">
      <alignment horizontal="left" vertical="top" indent="1"/>
      <protection locked="0"/>
    </xf>
    <xf numFmtId="0" fontId="11" fillId="0" borderId="9" xfId="2" applyFont="1" applyBorder="1" applyAlignment="1" applyProtection="1">
      <alignment horizontal="left" vertical="top" indent="1"/>
      <protection locked="0"/>
    </xf>
    <xf numFmtId="0" fontId="11" fillId="0" borderId="30" xfId="2" applyFont="1" applyBorder="1" applyAlignment="1" applyProtection="1">
      <alignment horizontal="left" vertical="top" indent="1"/>
      <protection locked="0"/>
    </xf>
    <xf numFmtId="0" fontId="29" fillId="11" borderId="23" xfId="2" applyFont="1" applyFill="1" applyBorder="1" applyAlignment="1">
      <alignment horizontal="left" vertical="center" indent="1"/>
    </xf>
    <xf numFmtId="0" fontId="29" fillId="11" borderId="24" xfId="2" applyFont="1" applyFill="1" applyBorder="1" applyAlignment="1">
      <alignment horizontal="left" vertical="center" indent="1"/>
    </xf>
    <xf numFmtId="0" fontId="29" fillId="11" borderId="25" xfId="2" applyFont="1" applyFill="1" applyBorder="1" applyAlignment="1">
      <alignment horizontal="left" vertical="center" indent="1"/>
    </xf>
    <xf numFmtId="0" fontId="11" fillId="0" borderId="26" xfId="2" applyFont="1" applyBorder="1" applyAlignment="1" applyProtection="1">
      <alignment horizontal="left" vertical="center" indent="1"/>
      <protection locked="0"/>
    </xf>
    <xf numFmtId="0" fontId="11" fillId="0" borderId="3" xfId="2" applyFont="1" applyBorder="1" applyAlignment="1" applyProtection="1">
      <alignment horizontal="left" vertical="center" indent="1"/>
      <protection locked="0"/>
    </xf>
    <xf numFmtId="0" fontId="11" fillId="0" borderId="27" xfId="2" applyFont="1" applyBorder="1" applyAlignment="1" applyProtection="1">
      <alignment horizontal="left" vertical="center" indent="1"/>
      <protection locked="0"/>
    </xf>
    <xf numFmtId="0" fontId="11" fillId="0" borderId="20" xfId="2" applyFont="1" applyBorder="1" applyAlignment="1" applyProtection="1">
      <alignment horizontal="left" vertical="center" indent="1"/>
      <protection locked="0"/>
    </xf>
    <xf numFmtId="0" fontId="11" fillId="0" borderId="0" xfId="2" applyFont="1" applyAlignment="1" applyProtection="1">
      <alignment horizontal="left" vertical="center" indent="1"/>
      <protection locked="0"/>
    </xf>
    <xf numFmtId="0" fontId="11" fillId="0" borderId="28" xfId="2" applyFont="1" applyBorder="1" applyAlignment="1" applyProtection="1">
      <alignment horizontal="left" vertical="center" indent="1"/>
      <protection locked="0"/>
    </xf>
    <xf numFmtId="0" fontId="14" fillId="0" borderId="20" xfId="2" applyFont="1" applyBorder="1" applyAlignment="1" applyProtection="1">
      <alignment horizontal="left" vertical="center" indent="1"/>
      <protection locked="0"/>
    </xf>
    <xf numFmtId="0" fontId="14" fillId="0" borderId="0" xfId="2" applyFont="1" applyAlignment="1" applyProtection="1">
      <alignment horizontal="left" vertical="center" indent="1"/>
      <protection locked="0"/>
    </xf>
    <xf numFmtId="0" fontId="14" fillId="0" borderId="28" xfId="2" applyFont="1" applyBorder="1" applyAlignment="1" applyProtection="1">
      <alignment horizontal="left" vertical="center" indent="1"/>
      <protection locked="0"/>
    </xf>
    <xf numFmtId="0" fontId="5" fillId="13" borderId="20" xfId="0" applyFont="1" applyFill="1" applyBorder="1" applyAlignment="1" applyProtection="1">
      <alignment horizontal="left" vertical="center" wrapText="1" indent="1"/>
      <protection locked="0"/>
    </xf>
    <xf numFmtId="0" fontId="5" fillId="13" borderId="0" xfId="0" applyFont="1" applyFill="1" applyAlignment="1" applyProtection="1">
      <alignment horizontal="left" vertical="center" wrapText="1" indent="1"/>
      <protection locked="0"/>
    </xf>
    <xf numFmtId="0" fontId="4" fillId="7" borderId="20" xfId="0" applyFont="1" applyFill="1" applyBorder="1" applyAlignment="1" applyProtection="1">
      <alignment horizontal="left" vertical="center" wrapText="1" indent="1"/>
      <protection locked="0"/>
    </xf>
    <xf numFmtId="0" fontId="4" fillId="7" borderId="0" xfId="0" applyFont="1" applyFill="1" applyAlignment="1" applyProtection="1">
      <alignment horizontal="left" vertical="center" wrapText="1" indent="1"/>
      <protection locked="0"/>
    </xf>
    <xf numFmtId="0" fontId="11" fillId="14" borderId="0" xfId="2" applyFont="1" applyFill="1"/>
    <xf numFmtId="0" fontId="17" fillId="0" borderId="0" xfId="2" applyFont="1" applyAlignment="1">
      <alignment horizontal="center" vertical="center"/>
    </xf>
    <xf numFmtId="0" fontId="11" fillId="0" borderId="0" xfId="2" applyFont="1" applyAlignment="1">
      <alignment horizontal="center" vertical="top"/>
    </xf>
    <xf numFmtId="0" fontId="16" fillId="0" borderId="0" xfId="2" applyFont="1" applyAlignment="1" applyProtection="1">
      <alignment horizontal="center" vertical="top"/>
      <protection locked="0"/>
    </xf>
    <xf numFmtId="0" fontId="11" fillId="0" borderId="4" xfId="2" applyFont="1" applyBorder="1" applyAlignment="1" applyProtection="1">
      <alignment horizontal="left" vertical="center" indent="1"/>
      <protection locked="0"/>
    </xf>
    <xf numFmtId="0" fontId="11" fillId="0" borderId="5" xfId="2" applyFont="1" applyBorder="1" applyAlignment="1" applyProtection="1">
      <alignment horizontal="left" vertical="center" indent="1"/>
      <protection locked="0"/>
    </xf>
    <xf numFmtId="0" fontId="11" fillId="8" borderId="4" xfId="2" applyFont="1" applyFill="1" applyBorder="1" applyAlignment="1" applyProtection="1">
      <alignment horizontal="left" vertical="center" indent="1"/>
      <protection locked="0"/>
    </xf>
    <xf numFmtId="0" fontId="11" fillId="8" borderId="5" xfId="2" applyFont="1" applyFill="1" applyBorder="1" applyAlignment="1" applyProtection="1">
      <alignment horizontal="left" vertical="center" indent="1"/>
      <protection locked="0"/>
    </xf>
    <xf numFmtId="0" fontId="26" fillId="9" borderId="0" xfId="2" applyFont="1" applyFill="1" applyAlignment="1" applyProtection="1">
      <alignment horizontal="left" vertical="center" indent="1"/>
      <protection locked="0"/>
    </xf>
    <xf numFmtId="0" fontId="24" fillId="11" borderId="4" xfId="2" applyFont="1" applyFill="1" applyBorder="1" applyAlignment="1" applyProtection="1">
      <alignment horizontal="left" vertical="center" indent="1"/>
      <protection locked="0"/>
    </xf>
    <xf numFmtId="0" fontId="24" fillId="11" borderId="21" xfId="2" applyFont="1" applyFill="1" applyBorder="1" applyAlignment="1" applyProtection="1">
      <alignment horizontal="left" vertical="center" indent="1"/>
      <protection locked="0"/>
    </xf>
    <xf numFmtId="0" fontId="24" fillId="11" borderId="5" xfId="2" applyFont="1" applyFill="1" applyBorder="1" applyAlignment="1" applyProtection="1">
      <alignment horizontal="left" vertical="center" indent="1"/>
      <protection locked="0"/>
    </xf>
    <xf numFmtId="0" fontId="23" fillId="0" borderId="4" xfId="2" applyFont="1" applyBorder="1" applyAlignment="1" applyProtection="1">
      <alignment horizontal="left" vertical="center" indent="1"/>
      <protection locked="0"/>
    </xf>
    <xf numFmtId="0" fontId="23" fillId="0" borderId="21" xfId="2" applyFont="1" applyBorder="1" applyAlignment="1" applyProtection="1">
      <alignment horizontal="left" vertical="center" indent="1"/>
      <protection locked="0"/>
    </xf>
    <xf numFmtId="0" fontId="23" fillId="0" borderId="5" xfId="2" applyFont="1" applyBorder="1" applyAlignment="1" applyProtection="1">
      <alignment horizontal="left" vertical="center" indent="1"/>
      <protection locked="0"/>
    </xf>
    <xf numFmtId="0" fontId="11" fillId="0" borderId="21" xfId="2" applyFont="1" applyBorder="1" applyAlignment="1" applyProtection="1">
      <alignment horizontal="left" vertical="center" indent="1"/>
      <protection locked="0"/>
    </xf>
    <xf numFmtId="0" fontId="25" fillId="2" borderId="4" xfId="2" applyFont="1" applyFill="1" applyBorder="1" applyAlignment="1">
      <alignment horizontal="left" vertical="center" indent="1"/>
    </xf>
    <xf numFmtId="0" fontId="25" fillId="2" borderId="5" xfId="2" applyFont="1" applyFill="1" applyBorder="1" applyAlignment="1">
      <alignment horizontal="left" vertical="center" indent="1"/>
    </xf>
    <xf numFmtId="0" fontId="25" fillId="2" borderId="21" xfId="2" applyFont="1" applyFill="1" applyBorder="1" applyAlignment="1">
      <alignment horizontal="left" vertical="center" indent="1"/>
    </xf>
    <xf numFmtId="0" fontId="38" fillId="9" borderId="4" xfId="5" applyFont="1" applyFill="1" applyBorder="1" applyAlignment="1">
      <alignment horizontal="left" vertical="center" indent="1"/>
    </xf>
    <xf numFmtId="0" fontId="38" fillId="9" borderId="21" xfId="5" applyFont="1" applyFill="1" applyBorder="1" applyAlignment="1">
      <alignment horizontal="left" vertical="center" indent="1"/>
    </xf>
    <xf numFmtId="0" fontId="38" fillId="9" borderId="5" xfId="5" applyFont="1" applyFill="1" applyBorder="1" applyAlignment="1">
      <alignment horizontal="left" vertical="center" indent="1"/>
    </xf>
    <xf numFmtId="0" fontId="0" fillId="0" borderId="0" xfId="0" applyAlignment="1" applyProtection="1">
      <protection locked="0"/>
    </xf>
  </cellXfs>
  <cellStyles count="6">
    <cellStyle name="Comma 2" xfId="3" xr:uid="{EB4AA1A0-6F83-494B-BF69-BE4361A09066}"/>
    <cellStyle name="Hyperlink 2" xfId="4" xr:uid="{574E71EB-DF61-4279-BB60-DC6883603DA2}"/>
    <cellStyle name="Normal" xfId="0" builtinId="0"/>
    <cellStyle name="Normal 2" xfId="2" xr:uid="{BDABF5A8-D12F-4520-8A95-E4FEE98FCAB2}"/>
    <cellStyle name="Normal 3" xfId="5" xr:uid="{7E2BBB48-E1FB-40BD-A1F2-6E1C5B539D8E}"/>
    <cellStyle name="Percent" xfId="1" builtinId="5"/>
  </cellStyles>
  <dxfs count="28">
    <dxf>
      <font>
        <b val="0"/>
        <i val="0"/>
        <strike val="0"/>
        <condense val="0"/>
        <extend val="0"/>
        <outline val="0"/>
        <shadow val="0"/>
        <u val="none"/>
        <vertAlign val="baseline"/>
        <sz val="10"/>
        <color auto="1"/>
        <name val="Aptos Narrow"/>
        <family val="2"/>
        <scheme val="minor"/>
      </font>
      <fill>
        <patternFill patternType="solid">
          <fgColor indexed="64"/>
          <bgColor rgb="FFE6ECF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horizontal/>
      </border>
    </dxf>
    <dxf>
      <font>
        <sz val="10"/>
        <color auto="1"/>
        <name val="Aptos Narrow"/>
        <family val="2"/>
        <scheme val="minor"/>
      </font>
      <fill>
        <patternFill patternType="solid">
          <fgColor indexed="64"/>
          <bgColor theme="0" tint="-4.9989318521683403E-2"/>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horizontal/>
      </border>
    </dxf>
    <dxf>
      <border outline="0">
        <bottom style="hair">
          <color rgb="FF15253F"/>
        </bottom>
      </border>
    </dxf>
    <dxf>
      <font>
        <b/>
        <i val="0"/>
        <strike val="0"/>
        <condense val="0"/>
        <extend val="0"/>
        <outline val="0"/>
        <shadow val="0"/>
        <u val="none"/>
        <vertAlign val="baseline"/>
        <sz val="10"/>
        <color theme="0"/>
        <name val="Aptos Narrow"/>
        <family val="2"/>
        <scheme val="minor"/>
      </font>
      <fill>
        <patternFill patternType="solid">
          <fgColor indexed="64"/>
          <bgColor rgb="FF15253F"/>
        </patternFill>
      </fill>
      <alignment horizontal="left" vertical="center" textRotation="0" wrapText="0" indent="1" justifyLastLine="0" shrinkToFit="0" readingOrder="0"/>
      <border diagonalUp="0" diagonalDown="0" outline="0">
        <left style="hair">
          <color rgb="FF15253F"/>
        </left>
        <right style="hair">
          <color rgb="FF15253F"/>
        </right>
        <top/>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hair">
          <color rgb="FF15253F"/>
        </bottom>
      </border>
    </dxf>
    <dxf>
      <font>
        <b/>
        <i val="0"/>
        <strike val="0"/>
        <condense val="0"/>
        <extend val="0"/>
        <outline val="0"/>
        <shadow val="0"/>
        <u val="none"/>
        <vertAlign val="baseline"/>
        <sz val="10"/>
        <color theme="0"/>
        <name val="Aptos Narrow"/>
        <family val="2"/>
        <scheme val="minor"/>
      </font>
      <fill>
        <patternFill patternType="solid">
          <fgColor indexed="64"/>
          <bgColor rgb="FF15253F"/>
        </patternFill>
      </fill>
      <alignment horizontal="left" vertical="center" textRotation="0" wrapText="0" indent="1" justifyLastLine="0" shrinkToFit="0" readingOrder="0"/>
      <border diagonalUp="0" diagonalDown="0" outline="0">
        <left style="hair">
          <color rgb="FF15253F"/>
        </left>
        <right style="hair">
          <color rgb="FF15253F"/>
        </right>
        <top/>
        <bottom/>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border diagonalUp="0" diagonalDown="0">
        <left style="hair">
          <color rgb="FF15253F"/>
        </left>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solid">
          <fgColor indexed="64"/>
          <bgColor rgb="FFE6ECF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solid">
          <fgColor indexed="64"/>
          <bgColor rgb="FFE6ECF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solid">
          <fgColor indexed="64"/>
          <bgColor rgb="FFE6ECF5"/>
        </patternFill>
      </fill>
      <alignment horizontal="left" vertical="center" textRotation="0" wrapText="1" indent="1" justifyLastLine="0" shrinkToFit="0" readingOrder="0"/>
      <border diagonalUp="0" diagonalDown="0">
        <left style="hair">
          <color rgb="FF15253F"/>
        </left>
        <right style="hair">
          <color rgb="FF15253F"/>
        </right>
        <top style="hair">
          <color rgb="FF15253F"/>
        </top>
        <bottom style="hair">
          <color rgb="FF15253F"/>
        </bottom>
        <vertical style="hair">
          <color rgb="FF15253F"/>
        </vertical>
        <horizontal style="hair">
          <color rgb="FF15253F"/>
        </horizontal>
      </border>
    </dxf>
    <dxf>
      <font>
        <b val="0"/>
        <i val="0"/>
        <strike val="0"/>
        <condense val="0"/>
        <extend val="0"/>
        <outline val="0"/>
        <shadow val="0"/>
        <u val="none"/>
        <vertAlign val="baseline"/>
        <sz val="10"/>
        <color auto="1"/>
        <name val="Aptos Narrow"/>
        <family val="2"/>
        <scheme val="minor"/>
      </font>
      <fill>
        <patternFill patternType="solid">
          <fgColor indexed="64"/>
          <bgColor theme="0" tint="-4.9989318521683403E-2"/>
        </patternFill>
      </fill>
      <alignment horizontal="left" vertical="center" textRotation="0" wrapText="1" indent="1" justifyLastLine="0" shrinkToFit="0" readingOrder="0"/>
      <border diagonalUp="0" diagonalDown="0">
        <left/>
        <right style="hair">
          <color rgb="FF15253F"/>
        </right>
        <top style="hair">
          <color rgb="FF15253F"/>
        </top>
        <bottom style="hair">
          <color rgb="FF15253F"/>
        </bottom>
        <vertical style="hair">
          <color rgb="FF15253F"/>
        </vertical>
        <horizontal style="hair">
          <color rgb="FF15253F"/>
        </horizontal>
      </border>
    </dxf>
    <dxf>
      <border outline="0">
        <top style="thin">
          <color theme="0" tint="-0.249977111117893"/>
        </top>
      </border>
    </dxf>
    <dxf>
      <border outline="0">
        <left style="thin">
          <color theme="0" tint="-0.249977111117893"/>
        </left>
        <right style="thin">
          <color theme="0" tint="-0.249977111117893"/>
        </right>
        <top style="thin">
          <color theme="0" tint="-0.249977111117893"/>
        </top>
        <bottom style="thin">
          <color theme="0" tint="-0.249977111117893"/>
        </bottom>
      </border>
    </dxf>
    <dxf>
      <font>
        <b val="0"/>
        <i val="0"/>
        <strike val="0"/>
        <condense val="0"/>
        <extend val="0"/>
        <outline val="0"/>
        <shadow val="0"/>
        <u val="none"/>
        <vertAlign val="baseline"/>
        <sz val="10"/>
        <color auto="1"/>
        <name val="Aptos Narrow"/>
        <family val="2"/>
        <scheme val="minor"/>
      </font>
      <fill>
        <patternFill patternType="none">
          <fgColor indexed="64"/>
          <bgColor indexed="65"/>
        </patternFill>
      </fill>
      <alignment horizontal="left" vertical="center" textRotation="0" wrapText="1" indent="1" justifyLastLine="0" shrinkToFit="0" readingOrder="0"/>
    </dxf>
    <dxf>
      <border outline="0">
        <bottom style="thin">
          <color theme="0" tint="-0.249977111117893"/>
        </bottom>
      </border>
    </dxf>
    <dxf>
      <font>
        <b/>
        <i val="0"/>
        <strike val="0"/>
        <condense val="0"/>
        <extend val="0"/>
        <outline val="0"/>
        <shadow val="0"/>
        <u val="none"/>
        <vertAlign val="baseline"/>
        <sz val="10"/>
        <color theme="0"/>
        <name val="Aptos Narrow"/>
        <family val="2"/>
        <scheme val="minor"/>
      </font>
      <fill>
        <patternFill patternType="solid">
          <fgColor indexed="64"/>
          <bgColor rgb="FF15253F"/>
        </patternFill>
      </fill>
      <alignment horizontal="left" vertical="center" textRotation="0" wrapText="0" indent="1" justifyLastLine="0" shrinkToFit="0" readingOrder="0"/>
      <border diagonalUp="0" diagonalDown="0">
        <left style="hair">
          <color rgb="FF15253F"/>
        </left>
        <right style="hair">
          <color rgb="FF15253F"/>
        </right>
        <top/>
        <bottom/>
        <vertical style="hair">
          <color rgb="FF15253F"/>
        </vertical>
        <horizontal style="hair">
          <color rgb="FF15253F"/>
        </horizontal>
      </border>
    </dxf>
    <dxf>
      <fill>
        <patternFill>
          <bgColor theme="0" tint="-4.9989318521683403E-2"/>
        </patternFill>
      </fill>
    </dxf>
  </dxfs>
  <tableStyles count="1" defaultTableStyle="TableStyleMedium2" defaultPivotStyle="PivotStyleLight16">
    <tableStyle name="PivotTable Style 1" table="0" count="0" xr9:uid="{0BEBF119-C468-41C5-B487-750B448B2C76}"/>
  </tableStyles>
  <colors>
    <mruColors>
      <color rgb="FF4F7CC5"/>
      <color rgb="FF15253F"/>
      <color rgb="FF335A99"/>
      <color rgb="FFC9082A"/>
      <color rgb="FF001B69"/>
      <color rgb="FF0C2F42"/>
      <color rgb="FFEAF0F6"/>
      <color rgb="FF159497"/>
      <color rgb="FF19A3A7"/>
      <color rgb="FF1BBFC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1552575</xdr:colOff>
          <xdr:row>1</xdr:row>
          <xdr:rowOff>38100</xdr:rowOff>
        </xdr:from>
        <xdr:to>
          <xdr:col>2</xdr:col>
          <xdr:colOff>2743200</xdr:colOff>
          <xdr:row>1</xdr:row>
          <xdr:rowOff>466725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K" sz="1400" b="0" i="0" u="none" strike="noStrike" baseline="0">
                  <a:solidFill>
                    <a:srgbClr val="000000"/>
                  </a:solidFill>
                  <a:latin typeface="Calibri"/>
                  <a:cs typeface="Calibri"/>
                </a:rPr>
                <a:t>Get Estimates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My%20Older%20D\Personal\Personal\For%20IM\Excel\Freight%20Calculator_V11.xlsm" TargetMode="External"/><Relationship Id="rId1" Type="http://schemas.openxmlformats.org/officeDocument/2006/relationships/externalLinkPath" Target="file:///D:\My%20Older%20D\Personal\Personal\For%20IM\Excel\Freight%20Calculator_V11.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isclaimer-Smartsheet-Templates_Solution1-Tab5"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eight Calculator"/>
      <sheetName val="Helper"/>
      <sheetName val="Estimate"/>
      <sheetName val="Customers"/>
      <sheetName val="Countries &amp; Rates"/>
      <sheetName val="Origins"/>
    </sheetNames>
    <sheetDataSet>
      <sheetData sheetId="0">
        <row r="7">
          <cell r="C7" t="str">
            <v>Egypt</v>
          </cell>
        </row>
        <row r="11">
          <cell r="C11">
            <v>82038.45</v>
          </cell>
        </row>
        <row r="16">
          <cell r="C16">
            <v>500</v>
          </cell>
        </row>
        <row r="17">
          <cell r="C17">
            <v>2970000</v>
          </cell>
        </row>
        <row r="18">
          <cell r="C18">
            <v>110</v>
          </cell>
        </row>
        <row r="19">
          <cell r="C19">
            <v>270</v>
          </cell>
        </row>
        <row r="20">
          <cell r="C20">
            <v>100</v>
          </cell>
        </row>
        <row r="21">
          <cell r="C21">
            <v>594</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tenance Work Order"/>
      <sheetName val="BLANK - Maintenance Work Order "/>
      <sheetName val="- Disclaimer -"/>
    </sheetNames>
    <sheetDataSet>
      <sheetData sheetId="0"/>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FDC181-E3A9-4B59-AE7D-82B96AAD9737}" name="Table1" displayName="Table1" ref="B3:M48" totalsRowShown="0" headerRowDxfId="26" dataDxfId="24" headerRowBorderDxfId="25" tableBorderDxfId="23" totalsRowBorderDxfId="22">
  <autoFilter ref="B3:M48" xr:uid="{167FB8D1-51F3-A549-8A9E-C6E3D454FBC8}"/>
  <tableColumns count="12">
    <tableColumn id="1" xr3:uid="{A72D27CD-9073-47D5-A703-B968FB907D86}" name="CUSTOMER ID" dataDxfId="21"/>
    <tableColumn id="2" xr3:uid="{859BD1CD-5EC8-4561-B2A9-B655FDB97302}" name="COMPANY NAME" dataDxfId="20"/>
    <tableColumn id="3" xr3:uid="{BE83E55A-A104-46CC-A135-E890FD106112}" name="CONTACT NAME" dataDxfId="19"/>
    <tableColumn id="12" xr3:uid="{4DB45D22-1BF4-461C-8960-04C1C8FDA565}" name="CONTACT TITLE" dataDxfId="18"/>
    <tableColumn id="4" xr3:uid="{57FA878A-4712-48AC-BFC4-C4CF1F374B57}" name="PHONE 1" dataDxfId="17"/>
    <tableColumn id="5" xr3:uid="{A932E8CB-C7DB-4529-8176-B977C3786F46}" name="PHONE 2" dataDxfId="16"/>
    <tableColumn id="6" xr3:uid="{6681EB32-13B2-4659-B01E-9C4E018DC011}" name="EMAIL ADDRESS" dataDxfId="15"/>
    <tableColumn id="10" xr3:uid="{4B2E242C-4929-4606-A402-1A51B40484A1}" name="CITY" dataDxfId="14" dataCellStyle="Normal 3"/>
    <tableColumn id="9" xr3:uid="{4AA7AA93-89C4-418B-80AA-478D1E4AF452}" name="COUNTRY" dataDxfId="13" dataCellStyle="Normal 3"/>
    <tableColumn id="7" xr3:uid="{8B59C8DF-F449-4B98-BA5D-E1F47FB26B30}" name="COMPLETE MAILING ADDRESS" dataDxfId="12"/>
    <tableColumn id="11" xr3:uid="{C1EF324F-3A03-4173-81B5-96A2F4E0B32F}" name="BILLING ADDRESS if different" dataDxfId="11"/>
    <tableColumn id="8" xr3:uid="{B7B392EF-FEBC-45C0-BBA5-E5EBD187EE07}" name="NOTES" dataDxfId="1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FD0553-7772-43C1-83E1-4E9989BFE092}" name="countries_rates" displayName="countries_rates" ref="B2:I97" totalsRowShown="0" headerRowDxfId="9" headerRowBorderDxfId="8" headerRowCellStyle="Normal 3">
  <autoFilter ref="B2:I97" xr:uid="{9AFD0553-7772-43C1-83E1-4E9989BFE092}"/>
  <tableColumns count="8">
    <tableColumn id="1" xr3:uid="{8C63D394-6255-4393-8D35-CF3C56939A32}" name="PROVIDER ZONE" dataDxfId="7"/>
    <tableColumn id="2" xr3:uid="{393C59C3-68D9-4785-B6BF-40FD9F5BFEDA}" name="TGS SLA ZONE" dataDxfId="6"/>
    <tableColumn id="3" xr3:uid="{A5E54DFF-3143-4C3F-A412-7AEA629B190D}" name="TBS PRIORITY" dataDxfId="5"/>
    <tableColumn id="4" xr3:uid="{D88ABCC2-A49B-4360-B46E-3F4A43ADADC9}" name="COUNTRY"/>
    <tableColumn id="5" xr3:uid="{1404C92D-B666-43C2-99F0-23754903DE35}" name="DT %age" dataDxfId="4" dataCellStyle="Percent"/>
    <tableColumn id="6" xr3:uid="{B6906686-B381-491C-A58C-6015CC5CEAAA}" name="Customs Brokerage"/>
    <tableColumn id="7" xr3:uid="{6B0935C5-041C-4E9A-A9A8-23569B7E5E6D}" name="Handling"/>
    <tableColumn id="8" xr3:uid="{B4A18D86-E254-4872-BD9F-4CF567554A99}" name="IOR"/>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BFE05B-B879-47DD-B6D8-62D3575ACD71}" name="countries_origins" displayName="countries_origins" ref="B2:C197" totalsRowShown="0" headerRowDxfId="3" headerRowBorderDxfId="2" headerRowCellStyle="Normal 3">
  <autoFilter ref="B2:C197" xr:uid="{4ABFE05B-B879-47DD-B6D8-62D3575ACD71}"/>
  <tableColumns count="2">
    <tableColumn id="1" xr3:uid="{E3103E4E-E7A3-455A-9437-DAF46E04EE43}" name="Sr. #" dataDxfId="1" dataCellStyle="Normal 3"/>
    <tableColumn id="2" xr3:uid="{A8DBDDF6-B5E0-46F8-BE2A-FD7BD6D5FB17}" name="Countries of Origins" dataDxfId="0" dataCellStyle="Normal 3"/>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E651-0BD2-41F7-9807-79D4466FA693}">
  <sheetPr codeName="Sheet1">
    <outlinePr summaryBelow="0"/>
    <pageSetUpPr fitToPage="1"/>
  </sheetPr>
  <dimension ref="B1:Q40"/>
  <sheetViews>
    <sheetView showGridLines="0" tabSelected="1" zoomScaleNormal="100" workbookViewId="0">
      <pane ySplit="8" topLeftCell="A9" activePane="bottomLeft" state="frozen"/>
      <selection pane="bottomLeft" activeCell="D1" activeCellId="3" sqref="D35 A35 A1 D1"/>
    </sheetView>
  </sheetViews>
  <sheetFormatPr defaultColWidth="9.140625" defaultRowHeight="15" outlineLevelRow="2"/>
  <cols>
    <col min="1" max="1" width="2.7109375" style="3" customWidth="1"/>
    <col min="2" max="2" width="47.28515625" style="6" customWidth="1"/>
    <col min="3" max="3" width="41.5703125" style="8" bestFit="1" customWidth="1"/>
    <col min="4" max="4" width="2.7109375" style="3" customWidth="1"/>
    <col min="5" max="5" width="9.140625" style="3"/>
    <col min="6" max="6" width="18.7109375" style="3" customWidth="1"/>
    <col min="7" max="16384" width="9.140625" style="3"/>
  </cols>
  <sheetData>
    <row r="1" spans="2:17">
      <c r="B1" s="2"/>
      <c r="C1" s="12"/>
    </row>
    <row r="2" spans="2:17" ht="39.950000000000003" customHeight="1">
      <c r="B2" s="85" t="s">
        <v>9</v>
      </c>
      <c r="C2" s="86"/>
    </row>
    <row r="3" spans="2:17" ht="15" customHeight="1">
      <c r="B3" s="92"/>
      <c r="C3" s="92"/>
    </row>
    <row r="4" spans="2:17" ht="24" customHeight="1">
      <c r="B4" s="76" t="s">
        <v>277</v>
      </c>
      <c r="C4" s="75" t="s">
        <v>290</v>
      </c>
      <c r="D4" s="4"/>
    </row>
    <row r="5" spans="2:17" ht="24" customHeight="1">
      <c r="B5" s="76" t="s">
        <v>235</v>
      </c>
      <c r="C5" s="75" t="s">
        <v>49</v>
      </c>
      <c r="D5" s="4"/>
    </row>
    <row r="6" spans="2:17" ht="24" customHeight="1">
      <c r="B6" s="77" t="s">
        <v>236</v>
      </c>
      <c r="C6" s="75" t="s">
        <v>90</v>
      </c>
      <c r="D6" s="4"/>
    </row>
    <row r="7" spans="2:17" ht="15" customHeight="1">
      <c r="B7" s="93"/>
      <c r="C7" s="93"/>
    </row>
    <row r="8" spans="2:17" s="5" customFormat="1" ht="24.95" customHeight="1">
      <c r="B8" s="62" t="s">
        <v>0</v>
      </c>
      <c r="C8" s="22" t="s">
        <v>1</v>
      </c>
    </row>
    <row r="9" spans="2:17" ht="32.1" customHeight="1" collapsed="1">
      <c r="B9" s="23" t="s">
        <v>2</v>
      </c>
      <c r="C9" s="24">
        <f>IF(Cargo_Value=0, 0, IF(Cargo_Value*0.05 &gt; 500, Cargo_Value*0.05, 500))</f>
        <v>500</v>
      </c>
      <c r="E9" s="14"/>
    </row>
    <row r="10" spans="2:17" s="5" customFormat="1" ht="32.1" hidden="1" customHeight="1" outlineLevel="1">
      <c r="B10" s="79" t="s">
        <v>3</v>
      </c>
      <c r="C10" s="81">
        <v>1980</v>
      </c>
      <c r="E10" s="80"/>
    </row>
    <row r="11" spans="2:17" s="5" customFormat="1" ht="32.1" customHeight="1">
      <c r="B11" s="27" t="s">
        <v>254</v>
      </c>
      <c r="C11" s="28">
        <f>IFERROR(VLOOKUP(destination2, 'Countries &amp; Rates'!E:F, 2, FALSE) * Cargo_Value, 0)</f>
        <v>435.6</v>
      </c>
      <c r="E11" s="80"/>
    </row>
    <row r="12" spans="2:17" ht="32.1" customHeight="1">
      <c r="B12" s="27" t="s">
        <v>252</v>
      </c>
      <c r="C12" s="26">
        <v>0</v>
      </c>
      <c r="E12" s="13"/>
    </row>
    <row r="13" spans="2:17" ht="32.1" customHeight="1">
      <c r="B13" s="27" t="s">
        <v>19</v>
      </c>
      <c r="C13" s="26">
        <v>450</v>
      </c>
    </row>
    <row r="14" spans="2:17" ht="32.1" customHeight="1">
      <c r="B14" s="27" t="s">
        <v>4</v>
      </c>
      <c r="C14" s="28">
        <v>0</v>
      </c>
    </row>
    <row r="15" spans="2:17" ht="32.1" customHeight="1" collapsed="1">
      <c r="B15" s="27" t="s">
        <v>5</v>
      </c>
      <c r="C15" s="28">
        <f>MAX(400, package_gross_weight*0.75, volumetric_weight*0.75)</f>
        <v>400</v>
      </c>
      <c r="D15" s="17"/>
      <c r="E15" s="17"/>
      <c r="F15" s="17"/>
      <c r="G15" s="17"/>
      <c r="H15" s="17"/>
      <c r="I15" s="17"/>
      <c r="J15" s="17"/>
      <c r="K15" s="17"/>
      <c r="L15" s="17"/>
      <c r="M15" s="17"/>
      <c r="N15" s="17"/>
      <c r="O15" s="17"/>
      <c r="P15" s="17"/>
      <c r="Q15" s="17"/>
    </row>
    <row r="16" spans="2:17" ht="32.1" hidden="1" customHeight="1" outlineLevel="1">
      <c r="B16" s="25" t="s">
        <v>10</v>
      </c>
      <c r="C16" s="82">
        <v>18.14</v>
      </c>
      <c r="D16" s="145"/>
      <c r="E16" s="145"/>
      <c r="F16" s="145"/>
      <c r="G16" s="145"/>
      <c r="H16" s="145"/>
      <c r="I16" s="145"/>
      <c r="J16" s="145"/>
      <c r="K16" s="145"/>
      <c r="L16" s="145"/>
      <c r="M16" s="145"/>
      <c r="N16" s="145"/>
      <c r="O16" s="145"/>
      <c r="P16" s="145"/>
      <c r="Q16" s="145"/>
    </row>
    <row r="17" spans="2:17" ht="32.1" hidden="1" customHeight="1" outlineLevel="1" collapsed="1">
      <c r="B17" s="25" t="s">
        <v>6</v>
      </c>
      <c r="C17" s="29">
        <f>length*width*height</f>
        <v>1711.00819088</v>
      </c>
      <c r="D17" s="145"/>
      <c r="E17" s="145"/>
      <c r="F17" s="145"/>
      <c r="G17" s="145"/>
      <c r="H17" s="145"/>
      <c r="I17" s="145"/>
      <c r="J17" s="145"/>
      <c r="K17" s="145"/>
      <c r="L17" s="145"/>
      <c r="M17" s="145"/>
      <c r="N17" s="145"/>
      <c r="O17" s="145"/>
      <c r="P17" s="145"/>
      <c r="Q17" s="145"/>
    </row>
    <row r="18" spans="2:17" ht="32.1" hidden="1" customHeight="1" outlineLevel="2">
      <c r="B18" s="30" t="s">
        <v>11</v>
      </c>
      <c r="C18" s="84">
        <v>43.688000000000002</v>
      </c>
      <c r="D18" s="145"/>
      <c r="E18" s="145"/>
      <c r="F18" s="145"/>
      <c r="G18" s="145"/>
      <c r="H18" s="145"/>
      <c r="I18" s="145"/>
      <c r="J18" s="145"/>
      <c r="K18" s="145"/>
      <c r="L18" s="145"/>
      <c r="M18" s="145"/>
      <c r="N18" s="145"/>
      <c r="O18" s="145"/>
      <c r="P18" s="145"/>
      <c r="Q18" s="145"/>
    </row>
    <row r="19" spans="2:17" ht="32.1" hidden="1" customHeight="1" outlineLevel="2">
      <c r="B19" s="30" t="s">
        <v>12</v>
      </c>
      <c r="C19" s="84">
        <v>4.3179999999999996</v>
      </c>
      <c r="D19" s="145"/>
      <c r="E19" s="145"/>
      <c r="F19" s="145"/>
      <c r="G19" s="145"/>
      <c r="H19" s="145"/>
      <c r="I19" s="145"/>
      <c r="J19" s="145"/>
      <c r="K19" s="145"/>
      <c r="L19" s="145"/>
      <c r="M19" s="145"/>
      <c r="N19" s="145"/>
      <c r="O19" s="145"/>
      <c r="P19" s="145"/>
      <c r="Q19" s="145"/>
    </row>
    <row r="20" spans="2:17" ht="32.1" hidden="1" customHeight="1" outlineLevel="2">
      <c r="B20" s="30" t="s">
        <v>13</v>
      </c>
      <c r="C20" s="84">
        <v>9.07</v>
      </c>
      <c r="D20" s="145"/>
      <c r="E20" s="145"/>
      <c r="F20" s="145"/>
      <c r="G20" s="145"/>
      <c r="H20" s="145"/>
      <c r="I20" s="145"/>
      <c r="J20" s="145"/>
      <c r="K20" s="145"/>
      <c r="L20" s="145"/>
      <c r="M20" s="145"/>
      <c r="N20" s="145"/>
      <c r="O20" s="145"/>
      <c r="P20" s="145"/>
      <c r="Q20" s="145"/>
    </row>
    <row r="21" spans="2:17" ht="32.1" hidden="1" customHeight="1" outlineLevel="1">
      <c r="B21" s="25" t="s">
        <v>7</v>
      </c>
      <c r="C21" s="31">
        <f>package_dimension/5000</f>
        <v>0.34220163817600002</v>
      </c>
      <c r="D21" s="145"/>
      <c r="E21" s="145"/>
      <c r="F21" s="145"/>
      <c r="G21" s="145"/>
      <c r="H21" s="145"/>
      <c r="I21" s="145"/>
      <c r="J21" s="145"/>
      <c r="K21" s="145"/>
      <c r="L21" s="145"/>
      <c r="M21" s="145"/>
      <c r="N21" s="145"/>
      <c r="O21" s="145"/>
      <c r="P21" s="145"/>
      <c r="Q21" s="145"/>
    </row>
    <row r="22" spans="2:17" ht="32.1" customHeight="1">
      <c r="B22" s="27" t="s">
        <v>256</v>
      </c>
      <c r="C22" s="26">
        <v>250</v>
      </c>
    </row>
    <row r="23" spans="2:17" ht="32.1" customHeight="1">
      <c r="B23" s="27" t="s">
        <v>8</v>
      </c>
      <c r="C23" s="26">
        <v>750</v>
      </c>
    </row>
    <row r="24" spans="2:17" ht="32.1" customHeight="1">
      <c r="B24" s="27" t="s">
        <v>283</v>
      </c>
      <c r="C24" s="26">
        <v>250</v>
      </c>
    </row>
    <row r="25" spans="2:17" ht="32.1" customHeight="1">
      <c r="B25" s="27"/>
      <c r="C25" s="26"/>
    </row>
    <row r="26" spans="2:17" ht="32.1" customHeight="1">
      <c r="B26" s="27"/>
      <c r="C26" s="26"/>
    </row>
    <row r="27" spans="2:17" ht="32.1" customHeight="1">
      <c r="B27" s="27"/>
      <c r="C27" s="26"/>
    </row>
    <row r="28" spans="2:17" ht="32.1" customHeight="1">
      <c r="B28" s="27"/>
      <c r="C28" s="26"/>
    </row>
    <row r="29" spans="2:17" ht="32.1" customHeight="1">
      <c r="B29" s="27" t="s">
        <v>253</v>
      </c>
      <c r="C29" s="26">
        <f>MAX(350, package_gross_weight*1, volumetric_weight*1)</f>
        <v>350</v>
      </c>
      <c r="D29" s="94"/>
      <c r="E29" s="94"/>
      <c r="F29" s="94"/>
      <c r="G29" s="94"/>
      <c r="H29" s="94"/>
      <c r="I29" s="94"/>
      <c r="J29" s="94"/>
      <c r="K29" s="94"/>
      <c r="L29" s="94"/>
      <c r="M29" s="94"/>
      <c r="N29" s="94"/>
      <c r="O29" s="94"/>
      <c r="P29" s="94"/>
      <c r="Q29" s="94"/>
    </row>
    <row r="30" spans="2:17" ht="32.1" customHeight="1">
      <c r="B30" s="32" t="s">
        <v>251</v>
      </c>
      <c r="C30" s="33">
        <f>SUM(C11,C29,C24,C12,C23,C22,C15,C14,C13,C9,C25,C26,C27,C28)</f>
        <v>3385.6</v>
      </c>
    </row>
    <row r="31" spans="2:17" ht="15" customHeight="1">
      <c r="B31" s="87"/>
      <c r="C31" s="87"/>
    </row>
    <row r="32" spans="2:17" ht="15" customHeight="1">
      <c r="B32" s="11"/>
    </row>
    <row r="33" spans="2:4" ht="24" customHeight="1">
      <c r="B33" s="90" t="s">
        <v>234</v>
      </c>
      <c r="C33" s="91"/>
    </row>
    <row r="34" spans="2:4" ht="60" customHeight="1">
      <c r="B34" s="88" t="s">
        <v>233</v>
      </c>
      <c r="C34" s="89"/>
    </row>
    <row r="35" spans="2:4">
      <c r="B35" s="10"/>
      <c r="C35" s="9"/>
    </row>
    <row r="36" spans="2:4">
      <c r="B36" s="8"/>
    </row>
    <row r="38" spans="2:4">
      <c r="D38" s="7"/>
    </row>
    <row r="39" spans="2:4">
      <c r="D39" s="7"/>
    </row>
    <row r="40" spans="2:4">
      <c r="D40" s="7"/>
    </row>
  </sheetData>
  <sheetProtection formatCells="0" formatColumns="0" formatRows="0" sort="0" autoFilter="0"/>
  <mergeCells count="7">
    <mergeCell ref="B2:C2"/>
    <mergeCell ref="B31:C31"/>
    <mergeCell ref="B34:C34"/>
    <mergeCell ref="B33:C33"/>
    <mergeCell ref="B3:C3"/>
    <mergeCell ref="B7:C7"/>
    <mergeCell ref="D29:Q29"/>
  </mergeCells>
  <dataValidations count="1">
    <dataValidation type="list" allowBlank="1" showInputMessage="1" showErrorMessage="1" sqref="C4" xr:uid="{CBFDD57A-42F3-47E1-9FEB-3893FA997BBD}">
      <formula1>"UK ENTITY, UAE ENTITY"</formula1>
    </dataValidation>
  </dataValidations>
  <printOptions horizontalCentered="1"/>
  <pageMargins left="3.937007874015748E-2" right="3.937007874015748E-2" top="3.937007874015748E-2" bottom="6.6929133858267723E-2" header="3.937007874015748E-2" footer="3.937007874015748E-2"/>
  <pageSetup paperSize="9" orientation="portrait" r:id="rId1"/>
  <rowBreaks count="1" manualBreakCount="1">
    <brk id="31" max="3" man="1"/>
  </rowBreaks>
  <colBreaks count="1" manualBreakCount="1">
    <brk id="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47" r:id="rId4" name="Button 23">
              <controlPr defaultSize="0" print="0" autoFill="0" autoPict="0" macro="[0]!TransferData">
                <anchor moveWithCells="1" sizeWithCells="1">
                  <from>
                    <xdr:col>2</xdr:col>
                    <xdr:colOff>1552575</xdr:colOff>
                    <xdr:row>1</xdr:row>
                    <xdr:rowOff>38100</xdr:rowOff>
                  </from>
                  <to>
                    <xdr:col>2</xdr:col>
                    <xdr:colOff>2743200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F5C636B-097F-4E5B-A333-389409D0CC4F}">
          <x14:formula1>
            <xm:f>Origins!$C$3:$C$197</xm:f>
          </x14:formula1>
          <xm:sqref>C5</xm:sqref>
        </x14:dataValidation>
        <x14:dataValidation type="list" allowBlank="1" showInputMessage="1" showErrorMessage="1" xr:uid="{E815EF09-9B26-42D2-9477-B2F856062527}">
          <x14:formula1>
            <xm:f>'Countries &amp; Rates'!$E$3:$E$97</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9226E-E3FD-448D-95CF-1EEDCE639E58}">
  <sheetPr codeName="Sheet6">
    <pageSetUpPr fitToPage="1"/>
  </sheetPr>
  <dimension ref="C1:Z60"/>
  <sheetViews>
    <sheetView showGridLines="0" zoomScale="115" zoomScaleNormal="115" zoomScaleSheetLayoutView="100" workbookViewId="0">
      <selection activeCell="O7" sqref="O7"/>
    </sheetView>
  </sheetViews>
  <sheetFormatPr defaultColWidth="9.140625" defaultRowHeight="12.75"/>
  <cols>
    <col min="1" max="2" width="1.5703125" style="15" customWidth="1"/>
    <col min="3" max="3" width="18.7109375" style="15" customWidth="1"/>
    <col min="4" max="4" width="1.5703125" style="15" customWidth="1"/>
    <col min="5" max="5" width="18.7109375" style="15" customWidth="1"/>
    <col min="6" max="6" width="1.5703125" style="15" customWidth="1"/>
    <col min="7" max="7" width="18.7109375" style="15" customWidth="1"/>
    <col min="8" max="8" width="1.5703125" style="15" customWidth="1"/>
    <col min="9" max="9" width="18.7109375" style="15" customWidth="1"/>
    <col min="10" max="10" width="1.5703125" style="15" customWidth="1"/>
    <col min="11" max="11" width="20.7109375" style="15" customWidth="1"/>
    <col min="12" max="12" width="1.5703125" style="15" customWidth="1"/>
    <col min="13" max="13" width="20.7109375" style="15" customWidth="1"/>
    <col min="14" max="14" width="1.5703125" style="15" customWidth="1"/>
    <col min="15" max="15" width="22.5703125" style="47" customWidth="1"/>
    <col min="16" max="26" width="9.140625" style="47"/>
    <col min="27" max="16384" width="9.140625" style="15"/>
  </cols>
  <sheetData>
    <row r="1" spans="3:16" ht="9.9499999999999993" customHeight="1"/>
    <row r="2" spans="3:16" ht="42" customHeight="1">
      <c r="C2" s="131" t="s">
        <v>286</v>
      </c>
      <c r="D2" s="131"/>
      <c r="E2" s="131"/>
      <c r="F2" s="131"/>
      <c r="G2" s="131"/>
      <c r="H2" s="131"/>
      <c r="I2" s="131"/>
      <c r="J2" s="131"/>
      <c r="K2" s="39" t="s">
        <v>282</v>
      </c>
      <c r="L2" s="39"/>
      <c r="M2" s="83" t="str">
        <f>E12</f>
        <v>UT60006</v>
      </c>
    </row>
    <row r="3" spans="3:16" ht="9.9499999999999993" customHeight="1">
      <c r="C3" s="19"/>
      <c r="D3" s="19"/>
      <c r="E3" s="19"/>
      <c r="F3" s="19"/>
      <c r="G3" s="19"/>
      <c r="H3" s="19"/>
      <c r="I3" s="19"/>
      <c r="J3" s="19"/>
      <c r="L3" s="19"/>
      <c r="O3" s="48"/>
    </row>
    <row r="4" spans="3:16" ht="18" customHeight="1">
      <c r="C4" s="132" t="str">
        <f>IF('Freight Calculator'!$C$4="UK ENTITY", Helper!$C$3, IF('Freight Calculator'!$C$4="UAE ENTITY", Helper!$B$3, ""))</f>
        <v>UAE ENTITY</v>
      </c>
      <c r="D4" s="133"/>
      <c r="E4" s="134"/>
      <c r="F4" s="19"/>
      <c r="G4" s="132" t="s">
        <v>240</v>
      </c>
      <c r="H4" s="133"/>
      <c r="I4" s="134"/>
      <c r="J4" s="19"/>
      <c r="K4" s="95" t="s">
        <v>289</v>
      </c>
      <c r="L4" s="95"/>
      <c r="M4" s="95"/>
      <c r="O4" s="48"/>
    </row>
    <row r="5" spans="3:16" ht="18" customHeight="1">
      <c r="C5" s="135" t="str">
        <f>IF('Freight Calculator'!$C$4="UK ENTITY", Helper!$C$4, IF('Freight Calculator'!$C$4="UAE ENTITY", Helper!$B$4, ""))</f>
        <v>UAE street address</v>
      </c>
      <c r="D5" s="136"/>
      <c r="E5" s="137"/>
      <c r="F5" s="36"/>
      <c r="G5" s="127" t="s">
        <v>297</v>
      </c>
      <c r="H5" s="138"/>
      <c r="I5" s="128"/>
      <c r="J5" s="19"/>
      <c r="K5" s="95"/>
      <c r="L5" s="95"/>
      <c r="M5" s="95"/>
      <c r="O5" s="49"/>
      <c r="P5" s="50"/>
    </row>
    <row r="6" spans="3:16" ht="18" customHeight="1">
      <c r="C6" s="135" t="str">
        <f>IF('Freight Calculator'!$C$4="UK ENTITY", Helper!$C$5, IF('Freight Calculator'!$C$4="UAE ENTITY", Helper!$B$5, ""))</f>
        <v>City, UAE.</v>
      </c>
      <c r="D6" s="136"/>
      <c r="E6" s="137"/>
      <c r="F6" s="36"/>
      <c r="G6" s="127" t="str">
        <f>INDEX(Table1[COMPLETE MAILING ADDRESS], MATCH(Estimate!G5, Table1[COMPANY NAME], 0))</f>
        <v>373 Downing St, Georgia, 30045</v>
      </c>
      <c r="H6" s="138"/>
      <c r="I6" s="128"/>
      <c r="J6" s="19"/>
      <c r="K6" s="95"/>
      <c r="L6" s="95"/>
      <c r="M6" s="95"/>
      <c r="O6" s="49"/>
    </row>
    <row r="7" spans="3:16" ht="18" customHeight="1">
      <c r="C7" s="135" t="str">
        <f>IF('Freight Calculator'!$C$4="UK ENTITY", Helper!$C$6, IF('Freight Calculator'!$C$4="UAE ENTITY", Helper!$B$6, ""))</f>
        <v>Website: www.uaeentity.com</v>
      </c>
      <c r="D7" s="136"/>
      <c r="E7" s="137"/>
      <c r="F7" s="36"/>
      <c r="G7" s="127" t="str">
        <f>INDEX(Table1[CITY], MATCH(Estimate!G5, Table1[COMPANY NAME], 0))</f>
        <v>Lawrenceville</v>
      </c>
      <c r="H7" s="138"/>
      <c r="I7" s="128"/>
      <c r="J7" s="19"/>
      <c r="K7" s="95"/>
      <c r="L7" s="95"/>
      <c r="M7" s="95"/>
      <c r="O7" s="49"/>
    </row>
    <row r="8" spans="3:16" ht="18" customHeight="1">
      <c r="C8" s="135" t="str">
        <f>IF('Freight Calculator'!$C$4="UK ENTITY", Helper!$C$7, IF('Freight Calculator'!$C$4="UAE ENTITY", Helper!$B$7, ""))</f>
        <v>Phone: 00000 00 000 0000</v>
      </c>
      <c r="D8" s="136"/>
      <c r="E8" s="137"/>
      <c r="F8" s="36"/>
      <c r="G8" s="127" t="str">
        <f>INDEX(Table1[COUNTRY], MATCH(Estimate!G5, Table1[COMPANY NAME], 0))</f>
        <v>United States</v>
      </c>
      <c r="H8" s="138"/>
      <c r="I8" s="128"/>
      <c r="J8" s="19"/>
      <c r="K8" s="95"/>
      <c r="L8" s="95"/>
      <c r="M8" s="95"/>
      <c r="O8" s="49"/>
    </row>
    <row r="9" spans="3:16">
      <c r="C9" s="18"/>
      <c r="D9" s="18"/>
      <c r="E9" s="18"/>
      <c r="F9" s="18"/>
      <c r="G9" s="18"/>
      <c r="H9" s="18"/>
      <c r="I9" s="18"/>
      <c r="J9" s="18"/>
      <c r="L9" s="18"/>
    </row>
    <row r="11" spans="3:16" ht="18" customHeight="1">
      <c r="C11" s="35" t="s">
        <v>237</v>
      </c>
      <c r="E11" s="35" t="s">
        <v>238</v>
      </c>
      <c r="F11" s="34"/>
      <c r="G11" s="35" t="s">
        <v>281</v>
      </c>
      <c r="I11" s="35" t="s">
        <v>280</v>
      </c>
      <c r="K11" s="35" t="s">
        <v>265</v>
      </c>
      <c r="M11" s="35" t="s">
        <v>264</v>
      </c>
      <c r="P11" s="34"/>
    </row>
    <row r="12" spans="3:16" ht="18" customHeight="1">
      <c r="C12" s="20">
        <f ca="1">TODAY()</f>
        <v>45517</v>
      </c>
      <c r="D12" s="16"/>
      <c r="E12" s="20" t="s">
        <v>305</v>
      </c>
      <c r="F12" s="34"/>
      <c r="G12" s="74">
        <f>MAX([0]!volumetric_weight,[0]!package_gross_weight)</f>
        <v>18.14</v>
      </c>
      <c r="I12" s="73">
        <f>Cargo_Value</f>
        <v>1980</v>
      </c>
      <c r="K12" s="21" t="s">
        <v>49</v>
      </c>
      <c r="M12" s="21" t="s">
        <v>90</v>
      </c>
      <c r="P12" s="16"/>
    </row>
    <row r="13" spans="3:16">
      <c r="C13" s="18"/>
      <c r="D13" s="18"/>
      <c r="E13" s="18"/>
      <c r="F13" s="18"/>
      <c r="G13" s="18"/>
      <c r="H13" s="18"/>
      <c r="I13" s="18"/>
      <c r="J13" s="18"/>
      <c r="L13" s="18"/>
    </row>
    <row r="15" spans="3:16" ht="20.100000000000001" customHeight="1">
      <c r="C15" s="139" t="s">
        <v>241</v>
      </c>
      <c r="D15" s="141"/>
      <c r="E15" s="141"/>
      <c r="F15" s="141"/>
      <c r="G15" s="141"/>
      <c r="H15" s="141"/>
      <c r="I15" s="141"/>
      <c r="J15" s="140"/>
      <c r="K15" s="139" t="s">
        <v>242</v>
      </c>
      <c r="L15" s="140"/>
      <c r="M15" s="37" t="s">
        <v>243</v>
      </c>
      <c r="O15" s="51"/>
    </row>
    <row r="16" spans="3:16" ht="20.100000000000001" customHeight="1">
      <c r="C16" s="99" t="s">
        <v>2</v>
      </c>
      <c r="D16" s="99"/>
      <c r="E16" s="99"/>
      <c r="F16" s="99"/>
      <c r="G16" s="99"/>
      <c r="H16" s="99"/>
      <c r="I16" s="99"/>
      <c r="J16" s="99"/>
      <c r="K16" s="127"/>
      <c r="L16" s="128"/>
      <c r="M16" s="38">
        <v>500</v>
      </c>
    </row>
    <row r="17" spans="3:13" ht="20.100000000000001" customHeight="1">
      <c r="C17" s="99" t="s">
        <v>254</v>
      </c>
      <c r="D17" s="99"/>
      <c r="E17" s="99"/>
      <c r="F17" s="99"/>
      <c r="G17" s="99"/>
      <c r="H17" s="99"/>
      <c r="I17" s="99"/>
      <c r="J17" s="99"/>
      <c r="K17" s="129"/>
      <c r="L17" s="130"/>
      <c r="M17" s="38">
        <v>435.6</v>
      </c>
    </row>
    <row r="18" spans="3:13" ht="20.100000000000001" customHeight="1">
      <c r="C18" s="99" t="s">
        <v>19</v>
      </c>
      <c r="D18" s="99"/>
      <c r="E18" s="99"/>
      <c r="F18" s="99"/>
      <c r="G18" s="99"/>
      <c r="H18" s="99"/>
      <c r="I18" s="99"/>
      <c r="J18" s="99"/>
      <c r="K18" s="127"/>
      <c r="L18" s="128"/>
      <c r="M18" s="38">
        <v>450</v>
      </c>
    </row>
    <row r="19" spans="3:13" ht="20.100000000000001" customHeight="1">
      <c r="C19" s="99" t="s">
        <v>5</v>
      </c>
      <c r="D19" s="99"/>
      <c r="E19" s="99"/>
      <c r="F19" s="99"/>
      <c r="G19" s="99"/>
      <c r="H19" s="99"/>
      <c r="I19" s="99"/>
      <c r="J19" s="99"/>
      <c r="K19" s="129"/>
      <c r="L19" s="130"/>
      <c r="M19" s="38">
        <v>400</v>
      </c>
    </row>
    <row r="20" spans="3:13" ht="20.100000000000001" customHeight="1">
      <c r="C20" s="99" t="s">
        <v>256</v>
      </c>
      <c r="D20" s="99"/>
      <c r="E20" s="99"/>
      <c r="F20" s="99"/>
      <c r="G20" s="99"/>
      <c r="H20" s="99"/>
      <c r="I20" s="99"/>
      <c r="J20" s="99"/>
      <c r="K20" s="127"/>
      <c r="L20" s="128"/>
      <c r="M20" s="38">
        <v>250</v>
      </c>
    </row>
    <row r="21" spans="3:13" ht="20.100000000000001" customHeight="1">
      <c r="C21" s="99" t="s">
        <v>8</v>
      </c>
      <c r="D21" s="99"/>
      <c r="E21" s="99"/>
      <c r="F21" s="99"/>
      <c r="G21" s="99"/>
      <c r="H21" s="99"/>
      <c r="I21" s="99"/>
      <c r="J21" s="99"/>
      <c r="K21" s="129"/>
      <c r="L21" s="130"/>
      <c r="M21" s="38">
        <v>750</v>
      </c>
    </row>
    <row r="22" spans="3:13" ht="20.100000000000001" customHeight="1">
      <c r="C22" s="99" t="s">
        <v>283</v>
      </c>
      <c r="D22" s="99"/>
      <c r="E22" s="99"/>
      <c r="F22" s="99"/>
      <c r="G22" s="99"/>
      <c r="H22" s="99"/>
      <c r="I22" s="99"/>
      <c r="J22" s="99"/>
      <c r="K22" s="127"/>
      <c r="L22" s="128"/>
      <c r="M22" s="38">
        <v>250</v>
      </c>
    </row>
    <row r="23" spans="3:13" ht="20.100000000000001" customHeight="1">
      <c r="C23" s="99" t="s">
        <v>253</v>
      </c>
      <c r="D23" s="99"/>
      <c r="E23" s="99"/>
      <c r="F23" s="99"/>
      <c r="G23" s="99"/>
      <c r="H23" s="99"/>
      <c r="I23" s="99"/>
      <c r="J23" s="99"/>
      <c r="K23" s="129"/>
      <c r="L23" s="130"/>
      <c r="M23" s="38">
        <v>350</v>
      </c>
    </row>
    <row r="24" spans="3:13" ht="20.100000000000001" customHeight="1">
      <c r="C24" s="99"/>
      <c r="D24" s="99"/>
      <c r="E24" s="99"/>
      <c r="F24" s="99"/>
      <c r="G24" s="99"/>
      <c r="H24" s="99"/>
      <c r="I24" s="99"/>
      <c r="J24" s="99"/>
      <c r="K24" s="127"/>
      <c r="L24" s="128"/>
      <c r="M24" s="38"/>
    </row>
    <row r="25" spans="3:13" ht="20.100000000000001" customHeight="1">
      <c r="C25" s="99"/>
      <c r="D25" s="99"/>
      <c r="E25" s="99"/>
      <c r="F25" s="99"/>
      <c r="G25" s="99"/>
      <c r="H25" s="99"/>
      <c r="I25" s="99"/>
      <c r="J25" s="99"/>
      <c r="K25" s="129"/>
      <c r="L25" s="130"/>
      <c r="M25" s="38"/>
    </row>
    <row r="26" spans="3:13" ht="20.100000000000001" customHeight="1">
      <c r="C26" s="99"/>
      <c r="D26" s="99"/>
      <c r="E26" s="99"/>
      <c r="F26" s="99"/>
      <c r="G26" s="99"/>
      <c r="H26" s="99"/>
      <c r="I26" s="99"/>
      <c r="J26" s="99"/>
      <c r="K26" s="127"/>
      <c r="L26" s="128"/>
      <c r="M26" s="38"/>
    </row>
    <row r="27" spans="3:13" ht="20.100000000000001" customHeight="1">
      <c r="C27" s="99"/>
      <c r="D27" s="99"/>
      <c r="E27" s="99"/>
      <c r="F27" s="99"/>
      <c r="G27" s="99"/>
      <c r="H27" s="99"/>
      <c r="I27" s="99"/>
      <c r="J27" s="99"/>
      <c r="K27" s="129"/>
      <c r="L27" s="130"/>
      <c r="M27" s="38"/>
    </row>
    <row r="28" spans="3:13" ht="20.100000000000001" customHeight="1">
      <c r="C28" s="99"/>
      <c r="D28" s="99"/>
      <c r="E28" s="99"/>
      <c r="F28" s="99"/>
      <c r="G28" s="99"/>
      <c r="H28" s="99"/>
      <c r="I28" s="99"/>
      <c r="J28" s="99"/>
      <c r="K28" s="127"/>
      <c r="L28" s="128"/>
      <c r="M28" s="38"/>
    </row>
    <row r="29" spans="3:13" ht="20.100000000000001" customHeight="1">
      <c r="C29" s="99"/>
      <c r="D29" s="99"/>
      <c r="E29" s="99"/>
      <c r="F29" s="99"/>
      <c r="G29" s="99"/>
      <c r="H29" s="99"/>
      <c r="I29" s="99"/>
      <c r="J29" s="99"/>
      <c r="K29" s="129"/>
      <c r="L29" s="130"/>
      <c r="M29" s="38"/>
    </row>
    <row r="30" spans="3:13" ht="20.100000000000001" customHeight="1">
      <c r="C30" s="99"/>
      <c r="D30" s="99"/>
      <c r="E30" s="99"/>
      <c r="F30" s="99"/>
      <c r="G30" s="99"/>
      <c r="H30" s="99"/>
      <c r="I30" s="99"/>
      <c r="J30" s="99"/>
      <c r="K30" s="127"/>
      <c r="L30" s="128"/>
      <c r="M30" s="38"/>
    </row>
    <row r="31" spans="3:13" ht="20.100000000000001" customHeight="1">
      <c r="K31" s="43" t="s">
        <v>258</v>
      </c>
      <c r="M31" s="40">
        <f>SUM(M16:M30)</f>
        <v>3385.6</v>
      </c>
    </row>
    <row r="32" spans="3:13" ht="20.100000000000001" customHeight="1">
      <c r="C32" s="107" t="s">
        <v>251</v>
      </c>
      <c r="D32" s="108"/>
      <c r="E32" s="108"/>
      <c r="F32" s="108"/>
      <c r="G32" s="108"/>
      <c r="H32" s="109"/>
      <c r="I32" s="52"/>
      <c r="J32" s="52"/>
      <c r="K32" s="43" t="s">
        <v>259</v>
      </c>
      <c r="L32" s="52"/>
      <c r="M32" s="40">
        <f>SUMIF(K16:K30,"=x",M16:M30)</f>
        <v>0</v>
      </c>
    </row>
    <row r="33" spans="3:13" ht="20.100000000000001" customHeight="1">
      <c r="C33" s="110" t="s">
        <v>244</v>
      </c>
      <c r="D33" s="111"/>
      <c r="E33" s="111"/>
      <c r="F33" s="111"/>
      <c r="G33" s="111"/>
      <c r="H33" s="112"/>
      <c r="I33" s="53"/>
      <c r="J33" s="53"/>
      <c r="K33" s="43" t="s">
        <v>260</v>
      </c>
      <c r="L33" s="53"/>
      <c r="M33" s="41">
        <v>6.25E-2</v>
      </c>
    </row>
    <row r="34" spans="3:13" ht="20.100000000000001" customHeight="1">
      <c r="C34" s="113" t="s">
        <v>245</v>
      </c>
      <c r="D34" s="114"/>
      <c r="E34" s="114"/>
      <c r="F34" s="114"/>
      <c r="G34" s="114"/>
      <c r="H34" s="115"/>
      <c r="I34" s="53"/>
      <c r="J34" s="53"/>
      <c r="K34" s="43" t="s">
        <v>261</v>
      </c>
      <c r="L34" s="53"/>
      <c r="M34" s="40">
        <f>ROUND(M32*M33,2)</f>
        <v>0</v>
      </c>
    </row>
    <row r="35" spans="3:13" ht="20.100000000000001" customHeight="1" thickBot="1">
      <c r="C35" s="113" t="s">
        <v>246</v>
      </c>
      <c r="D35" s="114"/>
      <c r="E35" s="114"/>
      <c r="F35" s="114"/>
      <c r="G35" s="114"/>
      <c r="H35" s="115"/>
      <c r="I35" s="53"/>
      <c r="J35" s="53"/>
      <c r="K35" s="44" t="s">
        <v>262</v>
      </c>
      <c r="L35" s="78"/>
      <c r="M35" s="42">
        <v>0</v>
      </c>
    </row>
    <row r="36" spans="3:13" ht="20.100000000000001" customHeight="1" thickTop="1">
      <c r="C36" s="116" t="s">
        <v>247</v>
      </c>
      <c r="D36" s="117"/>
      <c r="E36" s="117"/>
      <c r="F36" s="117"/>
      <c r="G36" s="117"/>
      <c r="H36" s="118"/>
      <c r="I36" s="54"/>
      <c r="J36" s="54"/>
      <c r="K36" s="45" t="s">
        <v>263</v>
      </c>
      <c r="L36" s="54"/>
      <c r="M36" s="46">
        <f>M31+M34+M35</f>
        <v>3385.6</v>
      </c>
    </row>
    <row r="37" spans="3:13">
      <c r="C37" s="101"/>
      <c r="D37" s="102"/>
      <c r="E37" s="102"/>
      <c r="F37" s="102"/>
      <c r="G37" s="102"/>
      <c r="H37" s="103"/>
      <c r="I37" s="55"/>
      <c r="J37" s="55"/>
      <c r="L37" s="55"/>
    </row>
    <row r="38" spans="3:13">
      <c r="C38" s="96" t="s">
        <v>248</v>
      </c>
      <c r="D38" s="97"/>
      <c r="E38" s="97"/>
      <c r="F38" s="97"/>
      <c r="G38" s="97"/>
      <c r="H38" s="98"/>
      <c r="I38" s="56"/>
      <c r="J38" s="56"/>
      <c r="K38" s="125"/>
      <c r="L38" s="125"/>
      <c r="M38" s="125"/>
    </row>
    <row r="39" spans="3:13">
      <c r="C39" s="101" t="s">
        <v>249</v>
      </c>
      <c r="D39" s="102"/>
      <c r="E39" s="102"/>
      <c r="F39" s="102"/>
      <c r="G39" s="102"/>
      <c r="H39" s="103"/>
      <c r="I39" s="55"/>
      <c r="J39" s="55"/>
      <c r="K39" s="126"/>
      <c r="L39" s="126"/>
      <c r="M39" s="126"/>
    </row>
    <row r="40" spans="3:13">
      <c r="C40" s="104"/>
      <c r="D40" s="105"/>
      <c r="E40" s="105"/>
      <c r="F40" s="105"/>
      <c r="G40" s="105"/>
      <c r="H40" s="106"/>
      <c r="I40" s="55"/>
      <c r="J40" s="55"/>
      <c r="L40" s="55"/>
    </row>
    <row r="53" spans="3:13" ht="15.75">
      <c r="C53" s="119" t="s">
        <v>232</v>
      </c>
      <c r="D53" s="120"/>
      <c r="E53" s="120"/>
      <c r="F53" s="120"/>
      <c r="G53" s="120"/>
      <c r="H53" s="120"/>
      <c r="I53" s="120"/>
      <c r="J53" s="120"/>
      <c r="K53" s="120"/>
      <c r="L53" s="120"/>
      <c r="M53" s="120"/>
    </row>
    <row r="54" spans="3:13" ht="86.25" customHeight="1">
      <c r="C54" s="121" t="s">
        <v>278</v>
      </c>
      <c r="D54" s="122"/>
      <c r="E54" s="122"/>
      <c r="F54" s="122"/>
      <c r="G54" s="122"/>
      <c r="H54" s="122"/>
      <c r="I54" s="122"/>
      <c r="J54" s="122"/>
      <c r="K54" s="122"/>
      <c r="L54" s="122"/>
      <c r="M54" s="122"/>
    </row>
    <row r="57" spans="3:13" ht="20.100000000000001" customHeight="1">
      <c r="C57" s="95" t="s">
        <v>257</v>
      </c>
      <c r="D57" s="95"/>
      <c r="E57" s="95"/>
      <c r="F57" s="95"/>
      <c r="G57" s="95"/>
      <c r="H57" s="95"/>
      <c r="I57" s="95"/>
      <c r="J57" s="95"/>
      <c r="K57" s="95"/>
      <c r="L57" s="95"/>
      <c r="M57" s="95"/>
    </row>
    <row r="58" spans="3:13" ht="20.100000000000001" customHeight="1">
      <c r="C58" s="124" t="s">
        <v>250</v>
      </c>
      <c r="D58" s="124"/>
      <c r="E58" s="124"/>
      <c r="F58" s="124"/>
      <c r="G58" s="124"/>
      <c r="H58" s="124"/>
      <c r="I58" s="124"/>
      <c r="J58" s="124"/>
      <c r="K58" s="124"/>
      <c r="L58" s="124"/>
      <c r="M58" s="124"/>
    </row>
    <row r="59" spans="3:13" ht="3.95" customHeight="1">
      <c r="C59" s="123"/>
      <c r="D59" s="123"/>
      <c r="E59" s="123"/>
      <c r="F59" s="123"/>
      <c r="G59" s="123"/>
      <c r="H59" s="123"/>
      <c r="I59" s="123"/>
      <c r="J59" s="123"/>
      <c r="K59" s="123"/>
      <c r="L59" s="123"/>
      <c r="M59" s="123"/>
    </row>
    <row r="60" spans="3:13">
      <c r="C60" s="100"/>
      <c r="D60" s="100"/>
      <c r="E60" s="100"/>
      <c r="F60" s="100"/>
      <c r="G60" s="100"/>
      <c r="H60" s="100"/>
      <c r="I60" s="100"/>
      <c r="J60" s="100"/>
      <c r="K60" s="100"/>
      <c r="L60" s="100"/>
      <c r="M60" s="100"/>
    </row>
  </sheetData>
  <mergeCells count="61">
    <mergeCell ref="K23:L23"/>
    <mergeCell ref="K24:L24"/>
    <mergeCell ref="K25:L25"/>
    <mergeCell ref="C18:J18"/>
    <mergeCell ref="C19:J19"/>
    <mergeCell ref="G7:I7"/>
    <mergeCell ref="G8:I8"/>
    <mergeCell ref="C7:E7"/>
    <mergeCell ref="C8:E8"/>
    <mergeCell ref="K18:L18"/>
    <mergeCell ref="K15:L15"/>
    <mergeCell ref="K16:L16"/>
    <mergeCell ref="K17:L17"/>
    <mergeCell ref="C15:J15"/>
    <mergeCell ref="C16:J16"/>
    <mergeCell ref="C17:J17"/>
    <mergeCell ref="K4:M8"/>
    <mergeCell ref="C2:J2"/>
    <mergeCell ref="G4:I4"/>
    <mergeCell ref="C4:E4"/>
    <mergeCell ref="C5:E5"/>
    <mergeCell ref="C6:E6"/>
    <mergeCell ref="G5:I5"/>
    <mergeCell ref="G6:I6"/>
    <mergeCell ref="C37:H37"/>
    <mergeCell ref="K19:L19"/>
    <mergeCell ref="K20:L20"/>
    <mergeCell ref="K21:L21"/>
    <mergeCell ref="K22:L22"/>
    <mergeCell ref="C20:J20"/>
    <mergeCell ref="C21:J21"/>
    <mergeCell ref="C22:J22"/>
    <mergeCell ref="C30:J30"/>
    <mergeCell ref="C23:J23"/>
    <mergeCell ref="C24:J24"/>
    <mergeCell ref="C25:J25"/>
    <mergeCell ref="C28:J28"/>
    <mergeCell ref="K26:L26"/>
    <mergeCell ref="C27:J27"/>
    <mergeCell ref="K27:L27"/>
    <mergeCell ref="K38:M38"/>
    <mergeCell ref="K39:M39"/>
    <mergeCell ref="K28:L28"/>
    <mergeCell ref="K29:L29"/>
    <mergeCell ref="K30:L30"/>
    <mergeCell ref="C57:M57"/>
    <mergeCell ref="C38:H38"/>
    <mergeCell ref="C29:J29"/>
    <mergeCell ref="C26:J26"/>
    <mergeCell ref="C60:M60"/>
    <mergeCell ref="C39:H39"/>
    <mergeCell ref="C40:H40"/>
    <mergeCell ref="C32:H32"/>
    <mergeCell ref="C33:H33"/>
    <mergeCell ref="C34:H34"/>
    <mergeCell ref="C35:H35"/>
    <mergeCell ref="C36:H36"/>
    <mergeCell ref="C53:M53"/>
    <mergeCell ref="C54:M54"/>
    <mergeCell ref="C59:M59"/>
    <mergeCell ref="C58:M58"/>
  </mergeCells>
  <conditionalFormatting sqref="C16:C30 M16:M30">
    <cfRule type="expression" dxfId="27" priority="4" stopIfTrue="1">
      <formula>MOD(ROW(),2)=1</formula>
    </cfRule>
  </conditionalFormatting>
  <dataValidations count="1">
    <dataValidation type="list" allowBlank="1" showInputMessage="1" showErrorMessage="1" sqref="G5" xr:uid="{38ADA29F-5243-407B-8F58-6BF717CBD700}">
      <formula1>INDIRECT("Table1[Company Name]")</formula1>
    </dataValidation>
  </dataValidations>
  <printOptions horizontalCentered="1"/>
  <pageMargins left="3.937007874015748E-2" right="3.937007874015748E-2" top="3.937007874015748E-2" bottom="6.6929133858267723E-2" header="3.937007874015748E-2" footer="3.937007874015748E-2"/>
  <pageSetup paperSize="9" scale="7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B660B-5EA5-44E9-9643-89F9D3096B08}">
  <sheetPr codeName="Sheet4">
    <pageSetUpPr fitToPage="1"/>
  </sheetPr>
  <dimension ref="B1:P49"/>
  <sheetViews>
    <sheetView showGridLines="0" zoomScale="70" zoomScaleNormal="70" zoomScalePageLayoutView="90" workbookViewId="0">
      <pane ySplit="3" topLeftCell="A4" activePane="bottomLeft" state="frozen"/>
      <selection pane="bottomLeft" activeCell="B4" sqref="B4:M5"/>
    </sheetView>
  </sheetViews>
  <sheetFormatPr defaultColWidth="12.5703125" defaultRowHeight="15.75"/>
  <cols>
    <col min="1" max="1" width="1.5703125" style="57" customWidth="1"/>
    <col min="2" max="7" width="22.7109375" style="57" customWidth="1"/>
    <col min="8" max="8" width="35.28515625" style="57" customWidth="1"/>
    <col min="9" max="10" width="20.7109375" style="57" customWidth="1"/>
    <col min="11" max="12" width="34.7109375" style="57" customWidth="1"/>
    <col min="13" max="13" width="34.7109375" customWidth="1"/>
    <col min="15" max="15" width="65.140625" style="57" customWidth="1"/>
    <col min="16" max="16" width="1.5703125" style="58" customWidth="1"/>
    <col min="17" max="16384" width="12.5703125" style="57"/>
  </cols>
  <sheetData>
    <row r="1" spans="2:16" ht="9.9499999999999993" customHeight="1">
      <c r="M1" s="57"/>
      <c r="N1" s="58"/>
      <c r="P1" s="57"/>
    </row>
    <row r="2" spans="2:16" ht="50.1" customHeight="1">
      <c r="B2" s="142" t="s">
        <v>274</v>
      </c>
      <c r="C2" s="143"/>
      <c r="D2" s="143"/>
      <c r="E2" s="143"/>
      <c r="F2" s="143"/>
      <c r="G2" s="143"/>
      <c r="H2" s="143"/>
      <c r="I2" s="143"/>
      <c r="J2" s="143"/>
      <c r="K2" s="143"/>
      <c r="L2" s="144"/>
      <c r="M2" s="63"/>
      <c r="N2" s="58"/>
      <c r="P2" s="57"/>
    </row>
    <row r="3" spans="2:16" s="59" customFormat="1" ht="35.1" customHeight="1">
      <c r="B3" s="64" t="s">
        <v>239</v>
      </c>
      <c r="C3" s="64" t="s">
        <v>266</v>
      </c>
      <c r="D3" s="64" t="s">
        <v>267</v>
      </c>
      <c r="E3" s="64" t="s">
        <v>268</v>
      </c>
      <c r="F3" s="65" t="s">
        <v>269</v>
      </c>
      <c r="G3" s="65" t="s">
        <v>270</v>
      </c>
      <c r="H3" s="64" t="s">
        <v>271</v>
      </c>
      <c r="I3" s="64" t="s">
        <v>275</v>
      </c>
      <c r="J3" s="64" t="s">
        <v>17</v>
      </c>
      <c r="K3" s="64" t="s">
        <v>276</v>
      </c>
      <c r="L3" s="64" t="s">
        <v>272</v>
      </c>
      <c r="M3" s="64" t="s">
        <v>273</v>
      </c>
      <c r="N3" s="60"/>
    </row>
    <row r="4" spans="2:16" ht="21.95" customHeight="1">
      <c r="B4" s="66" t="s">
        <v>298</v>
      </c>
      <c r="C4" s="67" t="s">
        <v>296</v>
      </c>
      <c r="D4" s="67"/>
      <c r="E4" s="67"/>
      <c r="F4" s="68"/>
      <c r="G4" s="68"/>
      <c r="H4" s="68"/>
      <c r="I4" s="68" t="s">
        <v>284</v>
      </c>
      <c r="J4" s="68" t="s">
        <v>49</v>
      </c>
      <c r="K4" s="68" t="s">
        <v>285</v>
      </c>
      <c r="L4" s="68"/>
      <c r="M4" s="68"/>
      <c r="N4" s="58"/>
      <c r="P4" s="57"/>
    </row>
    <row r="5" spans="2:16" ht="21.95" customHeight="1">
      <c r="B5" s="66" t="s">
        <v>299</v>
      </c>
      <c r="C5" s="67" t="s">
        <v>297</v>
      </c>
      <c r="D5" s="67"/>
      <c r="E5" s="67"/>
      <c r="F5" s="68"/>
      <c r="G5" s="68"/>
      <c r="H5" s="68"/>
      <c r="I5" s="68" t="s">
        <v>287</v>
      </c>
      <c r="J5" s="68" t="s">
        <v>49</v>
      </c>
      <c r="K5" s="68" t="s">
        <v>288</v>
      </c>
      <c r="L5" s="68"/>
      <c r="M5" s="68"/>
      <c r="N5" s="58"/>
      <c r="P5" s="57"/>
    </row>
    <row r="6" spans="2:16" ht="21.95" customHeight="1">
      <c r="B6" s="66"/>
      <c r="C6" s="67"/>
      <c r="D6" s="67"/>
      <c r="E6" s="67"/>
      <c r="F6" s="68"/>
      <c r="G6" s="68"/>
      <c r="H6" s="68"/>
      <c r="I6" s="68"/>
      <c r="J6" s="68"/>
      <c r="K6" s="68"/>
      <c r="L6" s="68"/>
      <c r="M6" s="68"/>
      <c r="N6" s="58"/>
      <c r="P6" s="57"/>
    </row>
    <row r="7" spans="2:16" ht="21.95" customHeight="1">
      <c r="B7" s="66"/>
      <c r="C7" s="67"/>
      <c r="D7" s="67"/>
      <c r="E7" s="67"/>
      <c r="F7" s="68"/>
      <c r="G7" s="68"/>
      <c r="H7" s="68"/>
      <c r="I7" s="68"/>
      <c r="J7" s="68"/>
      <c r="K7" s="68"/>
      <c r="L7" s="68"/>
      <c r="M7" s="68"/>
      <c r="N7" s="58"/>
      <c r="P7" s="57"/>
    </row>
    <row r="8" spans="2:16" ht="21.95" customHeight="1">
      <c r="B8" s="66"/>
      <c r="C8" s="67"/>
      <c r="D8" s="67"/>
      <c r="E8" s="67"/>
      <c r="F8" s="68"/>
      <c r="G8" s="68"/>
      <c r="H8" s="68"/>
      <c r="I8" s="68"/>
      <c r="J8" s="68"/>
      <c r="K8" s="68"/>
      <c r="L8" s="68"/>
      <c r="M8" s="68"/>
      <c r="N8" s="58"/>
      <c r="P8" s="57"/>
    </row>
    <row r="9" spans="2:16" ht="21.95" customHeight="1">
      <c r="B9" s="66"/>
      <c r="C9" s="67"/>
      <c r="D9" s="67"/>
      <c r="E9" s="67"/>
      <c r="F9" s="68"/>
      <c r="G9" s="68"/>
      <c r="H9" s="68"/>
      <c r="I9" s="68"/>
      <c r="J9" s="68"/>
      <c r="K9" s="68"/>
      <c r="L9" s="68"/>
      <c r="M9" s="68"/>
      <c r="N9" s="58"/>
      <c r="P9" s="57"/>
    </row>
    <row r="10" spans="2:16" ht="21.95" customHeight="1">
      <c r="B10" s="66"/>
      <c r="C10" s="67"/>
      <c r="D10" s="67"/>
      <c r="E10" s="67"/>
      <c r="F10" s="68"/>
      <c r="G10" s="68"/>
      <c r="H10" s="68"/>
      <c r="I10" s="68"/>
      <c r="J10" s="68"/>
      <c r="K10" s="68"/>
      <c r="L10" s="68"/>
      <c r="M10" s="68"/>
      <c r="N10" s="58"/>
      <c r="P10" s="57"/>
    </row>
    <row r="11" spans="2:16" ht="21.95" customHeight="1">
      <c r="B11" s="66"/>
      <c r="C11" s="67"/>
      <c r="D11" s="67"/>
      <c r="E11" s="67"/>
      <c r="F11" s="68"/>
      <c r="G11" s="68"/>
      <c r="H11" s="68"/>
      <c r="I11" s="68"/>
      <c r="J11" s="68"/>
      <c r="K11" s="68"/>
      <c r="L11" s="68"/>
      <c r="M11" s="68"/>
      <c r="N11" s="58"/>
      <c r="P11" s="57"/>
    </row>
    <row r="12" spans="2:16" ht="21.95" customHeight="1">
      <c r="B12" s="66"/>
      <c r="C12" s="67"/>
      <c r="D12" s="67"/>
      <c r="E12" s="67"/>
      <c r="F12" s="68"/>
      <c r="G12" s="68"/>
      <c r="H12" s="68"/>
      <c r="I12" s="68"/>
      <c r="J12" s="68"/>
      <c r="K12" s="68"/>
      <c r="L12" s="68"/>
      <c r="M12" s="68"/>
      <c r="N12" s="58"/>
      <c r="P12" s="57"/>
    </row>
    <row r="13" spans="2:16" ht="21.95" customHeight="1">
      <c r="B13" s="66"/>
      <c r="C13" s="67"/>
      <c r="D13" s="67"/>
      <c r="E13" s="67"/>
      <c r="F13" s="68"/>
      <c r="G13" s="68"/>
      <c r="H13" s="68"/>
      <c r="I13" s="68"/>
      <c r="J13" s="68"/>
      <c r="K13" s="68"/>
      <c r="L13" s="68"/>
      <c r="M13" s="68"/>
      <c r="N13" s="58"/>
      <c r="P13" s="57"/>
    </row>
    <row r="14" spans="2:16" ht="21.95" customHeight="1">
      <c r="B14" s="66"/>
      <c r="C14" s="67"/>
      <c r="D14" s="67"/>
      <c r="E14" s="67"/>
      <c r="F14" s="68"/>
      <c r="G14" s="68"/>
      <c r="H14" s="68"/>
      <c r="I14" s="68"/>
      <c r="J14" s="68"/>
      <c r="K14" s="68"/>
      <c r="L14" s="68"/>
      <c r="M14" s="68"/>
      <c r="N14" s="58"/>
      <c r="P14" s="57"/>
    </row>
    <row r="15" spans="2:16" ht="21.95" customHeight="1">
      <c r="B15" s="66"/>
      <c r="C15" s="67"/>
      <c r="D15" s="67"/>
      <c r="E15" s="67"/>
      <c r="F15" s="68"/>
      <c r="G15" s="68"/>
      <c r="H15" s="68"/>
      <c r="I15" s="68"/>
      <c r="J15" s="68"/>
      <c r="K15" s="68"/>
      <c r="L15" s="68"/>
      <c r="M15" s="68"/>
      <c r="N15" s="58"/>
      <c r="P15" s="57"/>
    </row>
    <row r="16" spans="2:16" ht="21.95" customHeight="1">
      <c r="B16" s="66"/>
      <c r="C16" s="67"/>
      <c r="D16" s="67"/>
      <c r="E16" s="67"/>
      <c r="F16" s="68"/>
      <c r="G16" s="68"/>
      <c r="H16" s="68"/>
      <c r="I16" s="68"/>
      <c r="J16" s="68"/>
      <c r="K16" s="68"/>
      <c r="L16" s="68"/>
      <c r="M16" s="68"/>
      <c r="N16" s="58"/>
      <c r="P16" s="57"/>
    </row>
    <row r="17" spans="2:16" ht="21.95" customHeight="1">
      <c r="B17" s="66"/>
      <c r="C17" s="67"/>
      <c r="D17" s="67"/>
      <c r="E17" s="67"/>
      <c r="F17" s="68"/>
      <c r="G17" s="68"/>
      <c r="H17" s="68"/>
      <c r="I17" s="68"/>
      <c r="J17" s="68"/>
      <c r="K17" s="68"/>
      <c r="L17" s="68"/>
      <c r="M17" s="68"/>
      <c r="N17" s="58"/>
      <c r="P17" s="57"/>
    </row>
    <row r="18" spans="2:16" ht="21.95" customHeight="1">
      <c r="B18" s="66"/>
      <c r="C18" s="67"/>
      <c r="D18" s="67"/>
      <c r="E18" s="67"/>
      <c r="F18" s="68"/>
      <c r="G18" s="68"/>
      <c r="H18" s="68"/>
      <c r="I18" s="68"/>
      <c r="J18" s="68"/>
      <c r="K18" s="68"/>
      <c r="L18" s="68"/>
      <c r="M18" s="68"/>
      <c r="N18" s="58"/>
      <c r="P18" s="57"/>
    </row>
    <row r="19" spans="2:16" ht="21.95" customHeight="1">
      <c r="B19" s="66"/>
      <c r="C19" s="67"/>
      <c r="D19" s="67"/>
      <c r="E19" s="67"/>
      <c r="F19" s="68"/>
      <c r="G19" s="68"/>
      <c r="H19" s="68"/>
      <c r="I19" s="68"/>
      <c r="J19" s="68"/>
      <c r="K19" s="68"/>
      <c r="L19" s="68"/>
      <c r="M19" s="68"/>
      <c r="N19" s="58"/>
      <c r="P19" s="57"/>
    </row>
    <row r="20" spans="2:16" ht="21.95" customHeight="1">
      <c r="B20" s="66"/>
      <c r="C20" s="67"/>
      <c r="D20" s="67"/>
      <c r="E20" s="67"/>
      <c r="F20" s="68"/>
      <c r="G20" s="68"/>
      <c r="H20" s="68"/>
      <c r="I20" s="68"/>
      <c r="J20" s="68"/>
      <c r="K20" s="68"/>
      <c r="L20" s="68"/>
      <c r="M20" s="68"/>
      <c r="N20" s="58"/>
      <c r="P20" s="57"/>
    </row>
    <row r="21" spans="2:16" ht="21.95" customHeight="1">
      <c r="B21" s="66"/>
      <c r="C21" s="67"/>
      <c r="D21" s="67"/>
      <c r="E21" s="67"/>
      <c r="F21" s="68"/>
      <c r="G21" s="68"/>
      <c r="H21" s="68"/>
      <c r="I21" s="68"/>
      <c r="J21" s="68"/>
      <c r="K21" s="68"/>
      <c r="L21" s="68"/>
      <c r="M21" s="68"/>
      <c r="N21" s="58"/>
      <c r="P21" s="57"/>
    </row>
    <row r="22" spans="2:16" ht="21.95" customHeight="1">
      <c r="B22" s="66"/>
      <c r="C22" s="67"/>
      <c r="D22" s="67"/>
      <c r="E22" s="67"/>
      <c r="F22" s="68"/>
      <c r="G22" s="68"/>
      <c r="H22" s="68"/>
      <c r="I22" s="68"/>
      <c r="J22" s="68"/>
      <c r="K22" s="68"/>
      <c r="L22" s="68"/>
      <c r="M22" s="68"/>
      <c r="N22" s="58"/>
      <c r="P22" s="57"/>
    </row>
    <row r="23" spans="2:16" ht="21.95" customHeight="1">
      <c r="B23" s="66"/>
      <c r="C23" s="67"/>
      <c r="D23" s="67"/>
      <c r="E23" s="67"/>
      <c r="F23" s="68"/>
      <c r="G23" s="68"/>
      <c r="H23" s="68"/>
      <c r="I23" s="68"/>
      <c r="J23" s="68"/>
      <c r="K23" s="68"/>
      <c r="L23" s="68"/>
      <c r="M23" s="68"/>
      <c r="N23" s="58"/>
      <c r="P23" s="57"/>
    </row>
    <row r="24" spans="2:16" ht="21.95" customHeight="1">
      <c r="B24" s="66"/>
      <c r="C24" s="67"/>
      <c r="D24" s="67"/>
      <c r="E24" s="67"/>
      <c r="F24" s="68"/>
      <c r="G24" s="68"/>
      <c r="H24" s="68"/>
      <c r="I24" s="68"/>
      <c r="J24" s="68"/>
      <c r="K24" s="68"/>
      <c r="L24" s="68"/>
      <c r="M24" s="68"/>
      <c r="N24" s="58"/>
      <c r="P24" s="57"/>
    </row>
    <row r="25" spans="2:16" ht="21.95" customHeight="1">
      <c r="B25" s="66"/>
      <c r="C25" s="67"/>
      <c r="D25" s="67"/>
      <c r="E25" s="67"/>
      <c r="F25" s="68"/>
      <c r="G25" s="68"/>
      <c r="H25" s="68"/>
      <c r="I25" s="68"/>
      <c r="J25" s="68"/>
      <c r="K25" s="68"/>
      <c r="L25" s="68"/>
      <c r="M25" s="68"/>
      <c r="N25" s="58"/>
      <c r="P25" s="57"/>
    </row>
    <row r="26" spans="2:16" ht="21.95" customHeight="1">
      <c r="B26" s="66"/>
      <c r="C26" s="67"/>
      <c r="D26" s="67"/>
      <c r="E26" s="67"/>
      <c r="F26" s="68"/>
      <c r="G26" s="68"/>
      <c r="H26" s="68"/>
      <c r="I26" s="68"/>
      <c r="J26" s="68"/>
      <c r="K26" s="68"/>
      <c r="L26" s="68"/>
      <c r="M26" s="68"/>
      <c r="N26" s="58"/>
      <c r="P26" s="57"/>
    </row>
    <row r="27" spans="2:16" ht="21.95" customHeight="1">
      <c r="B27" s="66"/>
      <c r="C27" s="67"/>
      <c r="D27" s="67"/>
      <c r="E27" s="67"/>
      <c r="F27" s="68"/>
      <c r="G27" s="68"/>
      <c r="H27" s="68"/>
      <c r="I27" s="68"/>
      <c r="J27" s="68"/>
      <c r="K27" s="68"/>
      <c r="L27" s="68"/>
      <c r="M27" s="68"/>
      <c r="N27" s="58"/>
      <c r="P27" s="57"/>
    </row>
    <row r="28" spans="2:16" ht="21.95" customHeight="1">
      <c r="B28" s="66"/>
      <c r="C28" s="67"/>
      <c r="D28" s="67"/>
      <c r="E28" s="67"/>
      <c r="F28" s="68"/>
      <c r="G28" s="68"/>
      <c r="H28" s="68"/>
      <c r="I28" s="68"/>
      <c r="J28" s="68"/>
      <c r="K28" s="68"/>
      <c r="L28" s="68"/>
      <c r="M28" s="68"/>
      <c r="N28" s="58"/>
      <c r="P28" s="57"/>
    </row>
    <row r="29" spans="2:16" ht="21.95" customHeight="1">
      <c r="B29" s="66"/>
      <c r="C29" s="67"/>
      <c r="D29" s="67"/>
      <c r="E29" s="67"/>
      <c r="F29" s="68"/>
      <c r="G29" s="68"/>
      <c r="H29" s="68"/>
      <c r="I29" s="68"/>
      <c r="J29" s="68"/>
      <c r="K29" s="68"/>
      <c r="L29" s="68"/>
      <c r="M29" s="68"/>
      <c r="N29" s="58"/>
      <c r="P29" s="57"/>
    </row>
    <row r="30" spans="2:16" ht="21.95" customHeight="1">
      <c r="B30" s="66"/>
      <c r="C30" s="67"/>
      <c r="D30" s="67"/>
      <c r="E30" s="67"/>
      <c r="F30" s="68"/>
      <c r="G30" s="68"/>
      <c r="H30" s="68"/>
      <c r="I30" s="68"/>
      <c r="J30" s="68"/>
      <c r="K30" s="68"/>
      <c r="L30" s="68"/>
      <c r="M30" s="68"/>
      <c r="N30" s="58"/>
      <c r="P30" s="57"/>
    </row>
    <row r="31" spans="2:16" ht="21.95" customHeight="1">
      <c r="B31" s="66"/>
      <c r="C31" s="67"/>
      <c r="D31" s="67"/>
      <c r="E31" s="67"/>
      <c r="F31" s="68"/>
      <c r="G31" s="68"/>
      <c r="H31" s="68"/>
      <c r="I31" s="68"/>
      <c r="J31" s="68"/>
      <c r="K31" s="68"/>
      <c r="L31" s="68"/>
      <c r="M31" s="68"/>
      <c r="N31" s="58"/>
      <c r="P31" s="57"/>
    </row>
    <row r="32" spans="2:16" ht="21.95" customHeight="1">
      <c r="B32" s="66"/>
      <c r="C32" s="67"/>
      <c r="D32" s="67"/>
      <c r="E32" s="67"/>
      <c r="F32" s="68"/>
      <c r="G32" s="68"/>
      <c r="H32" s="68"/>
      <c r="I32" s="68"/>
      <c r="J32" s="68"/>
      <c r="K32" s="68"/>
      <c r="L32" s="68"/>
      <c r="M32" s="68"/>
      <c r="N32" s="58"/>
      <c r="P32" s="57"/>
    </row>
    <row r="33" spans="2:16" ht="21.95" customHeight="1">
      <c r="B33" s="66"/>
      <c r="C33" s="67"/>
      <c r="D33" s="67"/>
      <c r="E33" s="67"/>
      <c r="F33" s="68"/>
      <c r="G33" s="68"/>
      <c r="H33" s="68"/>
      <c r="I33" s="68"/>
      <c r="J33" s="68"/>
      <c r="K33" s="68"/>
      <c r="L33" s="68"/>
      <c r="M33" s="68"/>
      <c r="N33" s="58"/>
      <c r="P33" s="57"/>
    </row>
    <row r="34" spans="2:16" ht="21.95" customHeight="1">
      <c r="B34" s="66"/>
      <c r="C34" s="67"/>
      <c r="D34" s="67"/>
      <c r="E34" s="67"/>
      <c r="F34" s="68"/>
      <c r="G34" s="68"/>
      <c r="H34" s="68"/>
      <c r="I34" s="68"/>
      <c r="J34" s="68"/>
      <c r="K34" s="68"/>
      <c r="L34" s="68"/>
      <c r="M34" s="68"/>
      <c r="N34" s="58"/>
      <c r="P34" s="57"/>
    </row>
    <row r="35" spans="2:16" ht="21.95" customHeight="1">
      <c r="B35" s="66"/>
      <c r="C35" s="67"/>
      <c r="D35" s="67"/>
      <c r="E35" s="67"/>
      <c r="F35" s="68"/>
      <c r="G35" s="68"/>
      <c r="H35" s="68"/>
      <c r="I35" s="68"/>
      <c r="J35" s="68"/>
      <c r="K35" s="68"/>
      <c r="L35" s="68"/>
      <c r="M35" s="68"/>
      <c r="N35" s="58"/>
      <c r="P35" s="57"/>
    </row>
    <row r="36" spans="2:16" ht="21.95" customHeight="1">
      <c r="B36" s="66"/>
      <c r="C36" s="67"/>
      <c r="D36" s="67"/>
      <c r="E36" s="67"/>
      <c r="F36" s="68"/>
      <c r="G36" s="68"/>
      <c r="H36" s="68"/>
      <c r="I36" s="68"/>
      <c r="J36" s="68"/>
      <c r="K36" s="68"/>
      <c r="L36" s="68"/>
      <c r="M36" s="68"/>
      <c r="N36" s="58"/>
      <c r="P36" s="57"/>
    </row>
    <row r="37" spans="2:16" ht="21.95" customHeight="1">
      <c r="B37" s="66"/>
      <c r="C37" s="67"/>
      <c r="D37" s="67"/>
      <c r="E37" s="67"/>
      <c r="F37" s="68"/>
      <c r="G37" s="68"/>
      <c r="H37" s="68"/>
      <c r="I37" s="68"/>
      <c r="J37" s="68"/>
      <c r="K37" s="68"/>
      <c r="L37" s="68"/>
      <c r="M37" s="68"/>
      <c r="N37" s="58"/>
      <c r="P37" s="57"/>
    </row>
    <row r="38" spans="2:16" ht="21.95" customHeight="1">
      <c r="B38" s="66"/>
      <c r="C38" s="67"/>
      <c r="D38" s="67"/>
      <c r="E38" s="67"/>
      <c r="F38" s="68"/>
      <c r="G38" s="68"/>
      <c r="H38" s="68"/>
      <c r="I38" s="68"/>
      <c r="J38" s="68"/>
      <c r="K38" s="68"/>
      <c r="L38" s="68"/>
      <c r="M38" s="68"/>
      <c r="N38" s="58"/>
      <c r="P38" s="57"/>
    </row>
    <row r="39" spans="2:16" ht="21.95" customHeight="1">
      <c r="B39" s="66"/>
      <c r="C39" s="67"/>
      <c r="D39" s="67"/>
      <c r="E39" s="67"/>
      <c r="F39" s="68"/>
      <c r="G39" s="68"/>
      <c r="H39" s="68"/>
      <c r="I39" s="68"/>
      <c r="J39" s="68"/>
      <c r="K39" s="68"/>
      <c r="L39" s="68"/>
      <c r="M39" s="68"/>
      <c r="N39" s="58"/>
      <c r="P39" s="57"/>
    </row>
    <row r="40" spans="2:16" ht="21.95" customHeight="1">
      <c r="B40" s="66"/>
      <c r="C40" s="67"/>
      <c r="D40" s="67"/>
      <c r="E40" s="67"/>
      <c r="F40" s="68"/>
      <c r="G40" s="68"/>
      <c r="H40" s="68"/>
      <c r="I40" s="68"/>
      <c r="J40" s="68"/>
      <c r="K40" s="68"/>
      <c r="L40" s="68"/>
      <c r="M40" s="68"/>
      <c r="N40" s="58"/>
      <c r="P40" s="57"/>
    </row>
    <row r="41" spans="2:16" ht="21.95" customHeight="1">
      <c r="B41" s="66"/>
      <c r="C41" s="67"/>
      <c r="D41" s="67"/>
      <c r="E41" s="67"/>
      <c r="F41" s="68"/>
      <c r="G41" s="68"/>
      <c r="H41" s="68"/>
      <c r="I41" s="68"/>
      <c r="J41" s="68"/>
      <c r="K41" s="68"/>
      <c r="L41" s="68"/>
      <c r="M41" s="68"/>
      <c r="N41" s="58"/>
      <c r="P41" s="57"/>
    </row>
    <row r="42" spans="2:16" ht="21.95" customHeight="1">
      <c r="B42" s="66"/>
      <c r="C42" s="67"/>
      <c r="D42" s="67"/>
      <c r="E42" s="67"/>
      <c r="F42" s="68"/>
      <c r="G42" s="68"/>
      <c r="H42" s="68"/>
      <c r="I42" s="68"/>
      <c r="J42" s="68"/>
      <c r="K42" s="68"/>
      <c r="L42" s="68"/>
      <c r="M42" s="68"/>
      <c r="N42" s="58"/>
      <c r="P42" s="57"/>
    </row>
    <row r="43" spans="2:16" ht="21.95" customHeight="1">
      <c r="B43" s="66"/>
      <c r="C43" s="67"/>
      <c r="D43" s="67"/>
      <c r="E43" s="67"/>
      <c r="F43" s="68"/>
      <c r="G43" s="68"/>
      <c r="H43" s="68"/>
      <c r="I43" s="68"/>
      <c r="J43" s="68"/>
      <c r="K43" s="68"/>
      <c r="L43" s="68"/>
      <c r="M43" s="68"/>
      <c r="N43" s="58"/>
      <c r="P43" s="57"/>
    </row>
    <row r="44" spans="2:16" ht="21.95" customHeight="1">
      <c r="B44" s="66"/>
      <c r="C44" s="67"/>
      <c r="D44" s="67"/>
      <c r="E44" s="67"/>
      <c r="F44" s="68"/>
      <c r="G44" s="68"/>
      <c r="H44" s="68"/>
      <c r="I44" s="68"/>
      <c r="J44" s="68"/>
      <c r="K44" s="68"/>
      <c r="L44" s="68"/>
      <c r="M44" s="68"/>
      <c r="N44" s="58"/>
      <c r="P44" s="57"/>
    </row>
    <row r="45" spans="2:16" ht="21.95" customHeight="1">
      <c r="B45" s="66"/>
      <c r="C45" s="67"/>
      <c r="D45" s="67"/>
      <c r="E45" s="67"/>
      <c r="F45" s="68"/>
      <c r="G45" s="68"/>
      <c r="H45" s="68"/>
      <c r="I45" s="68"/>
      <c r="J45" s="68"/>
      <c r="K45" s="68"/>
      <c r="L45" s="68"/>
      <c r="M45" s="68"/>
      <c r="N45" s="58"/>
      <c r="P45" s="57"/>
    </row>
    <row r="46" spans="2:16" ht="21.95" customHeight="1">
      <c r="B46" s="66"/>
      <c r="C46" s="67"/>
      <c r="D46" s="67"/>
      <c r="E46" s="67"/>
      <c r="F46" s="68"/>
      <c r="G46" s="68"/>
      <c r="H46" s="68"/>
      <c r="I46" s="68"/>
      <c r="J46" s="68"/>
      <c r="K46" s="68"/>
      <c r="L46" s="68"/>
      <c r="M46" s="68"/>
      <c r="N46" s="58"/>
      <c r="P46" s="57"/>
    </row>
    <row r="47" spans="2:16" ht="21.95" customHeight="1">
      <c r="B47" s="66"/>
      <c r="C47" s="67"/>
      <c r="D47" s="67"/>
      <c r="E47" s="67"/>
      <c r="F47" s="68"/>
      <c r="G47" s="68"/>
      <c r="H47" s="68"/>
      <c r="I47" s="68"/>
      <c r="J47" s="68"/>
      <c r="K47" s="68"/>
      <c r="L47" s="68"/>
      <c r="M47" s="68"/>
      <c r="N47" s="58"/>
      <c r="P47" s="57"/>
    </row>
    <row r="48" spans="2:16" ht="21.95" customHeight="1">
      <c r="B48" s="66"/>
      <c r="C48" s="67"/>
      <c r="D48" s="67"/>
      <c r="E48" s="67"/>
      <c r="F48" s="68"/>
      <c r="G48" s="68"/>
      <c r="H48" s="68"/>
      <c r="I48" s="68"/>
      <c r="J48" s="68"/>
      <c r="K48" s="68"/>
      <c r="L48" s="68"/>
      <c r="M48" s="68"/>
      <c r="N48" s="58"/>
      <c r="P48" s="57"/>
    </row>
    <row r="49" spans="2:15" ht="9.9499999999999993" customHeight="1">
      <c r="B49" s="61"/>
      <c r="C49" s="61"/>
      <c r="D49" s="61"/>
      <c r="E49" s="61"/>
      <c r="F49" s="61"/>
      <c r="G49" s="61"/>
      <c r="H49" s="61"/>
      <c r="I49" s="61"/>
      <c r="J49" s="61"/>
      <c r="K49" s="61"/>
      <c r="L49" s="61"/>
      <c r="O49" s="61"/>
    </row>
  </sheetData>
  <mergeCells count="1">
    <mergeCell ref="B2:L2"/>
  </mergeCells>
  <printOptions horizontalCentered="1"/>
  <pageMargins left="3.937007874015748E-2" right="3.937007874015748E-2" top="3.937007874015748E-2" bottom="6.6929133858267723E-2" header="3.937007874015748E-2" footer="3.937007874015748E-2"/>
  <pageSetup paperSize="9" scale="4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AB34A-B04F-4B6C-8830-8AFF96DB080E}">
  <sheetPr codeName="Sheet2"/>
  <dimension ref="B2:J97"/>
  <sheetViews>
    <sheetView showGridLines="0" zoomScale="145" zoomScaleNormal="145" workbookViewId="0">
      <pane ySplit="2" topLeftCell="A3" activePane="bottomLeft" state="frozen"/>
      <selection pane="bottomLeft" activeCell="F10" sqref="F10"/>
    </sheetView>
  </sheetViews>
  <sheetFormatPr defaultRowHeight="15"/>
  <cols>
    <col min="1" max="1" width="2.7109375" customWidth="1"/>
    <col min="2" max="2" width="17.42578125" style="1" customWidth="1"/>
    <col min="3" max="3" width="15.28515625" style="1" customWidth="1"/>
    <col min="4" max="4" width="14.7109375" style="1" customWidth="1"/>
    <col min="5" max="5" width="22.42578125" bestFit="1" customWidth="1"/>
    <col min="6" max="6" width="10.5703125" style="1" customWidth="1"/>
    <col min="7" max="7" width="20.140625" customWidth="1"/>
    <col min="8" max="8" width="16.7109375" bestFit="1" customWidth="1"/>
    <col min="9" max="9" width="24.7109375" bestFit="1" customWidth="1"/>
  </cols>
  <sheetData>
    <row r="2" spans="2:10" s="59" customFormat="1" ht="35.1" customHeight="1">
      <c r="B2" s="64" t="s">
        <v>14</v>
      </c>
      <c r="C2" s="64" t="s">
        <v>15</v>
      </c>
      <c r="D2" s="64" t="s">
        <v>16</v>
      </c>
      <c r="E2" s="64" t="s">
        <v>17</v>
      </c>
      <c r="F2" s="65" t="s">
        <v>18</v>
      </c>
      <c r="G2" s="65" t="s">
        <v>19</v>
      </c>
      <c r="H2" s="64" t="s">
        <v>231</v>
      </c>
      <c r="I2" s="64" t="s">
        <v>2</v>
      </c>
    </row>
    <row r="3" spans="2:10" s="57" customFormat="1" ht="21.95" customHeight="1">
      <c r="B3" s="66" t="s">
        <v>20</v>
      </c>
      <c r="C3" s="67">
        <v>1</v>
      </c>
      <c r="D3" s="67">
        <v>1</v>
      </c>
      <c r="E3" s="67" t="s">
        <v>21</v>
      </c>
      <c r="F3" s="70">
        <v>0.1</v>
      </c>
      <c r="G3" s="68" t="s">
        <v>22</v>
      </c>
      <c r="H3" s="68" t="s">
        <v>23</v>
      </c>
      <c r="I3" s="68" t="s">
        <v>255</v>
      </c>
      <c r="J3" s="58"/>
    </row>
    <row r="4" spans="2:10" s="57" customFormat="1" ht="21.95" customHeight="1">
      <c r="B4" s="66" t="s">
        <v>20</v>
      </c>
      <c r="C4" s="67">
        <v>1</v>
      </c>
      <c r="D4" s="67">
        <v>1</v>
      </c>
      <c r="E4" s="67" t="s">
        <v>24</v>
      </c>
      <c r="F4" s="70">
        <v>0.2</v>
      </c>
      <c r="G4" s="68"/>
      <c r="H4" s="68"/>
      <c r="I4" s="68"/>
      <c r="J4" s="58"/>
    </row>
    <row r="5" spans="2:10" s="57" customFormat="1" ht="21.95" customHeight="1">
      <c r="B5" s="66" t="s">
        <v>20</v>
      </c>
      <c r="C5" s="67">
        <v>1</v>
      </c>
      <c r="D5" s="67">
        <v>2</v>
      </c>
      <c r="E5" s="67" t="s">
        <v>25</v>
      </c>
      <c r="F5" s="70">
        <v>0.08</v>
      </c>
      <c r="G5" s="68"/>
      <c r="H5" s="68"/>
      <c r="I5" s="68"/>
      <c r="J5" s="58"/>
    </row>
    <row r="6" spans="2:10" s="57" customFormat="1" ht="21.95" customHeight="1">
      <c r="B6" s="66" t="s">
        <v>20</v>
      </c>
      <c r="C6" s="67">
        <v>1</v>
      </c>
      <c r="D6" s="67">
        <v>2</v>
      </c>
      <c r="E6" s="67" t="s">
        <v>26</v>
      </c>
      <c r="F6" s="70">
        <v>0.25</v>
      </c>
      <c r="G6" s="68"/>
      <c r="H6" s="68"/>
      <c r="I6" s="68"/>
      <c r="J6" s="58"/>
    </row>
    <row r="7" spans="2:10" s="57" customFormat="1" ht="21.95" customHeight="1">
      <c r="B7" s="66" t="s">
        <v>20</v>
      </c>
      <c r="C7" s="67">
        <v>1</v>
      </c>
      <c r="D7" s="67">
        <v>2</v>
      </c>
      <c r="E7" s="67" t="s">
        <v>27</v>
      </c>
      <c r="F7" s="70">
        <v>0.25</v>
      </c>
      <c r="G7" s="68"/>
      <c r="H7" s="68"/>
      <c r="I7" s="68"/>
      <c r="J7" s="58"/>
    </row>
    <row r="8" spans="2:10" s="57" customFormat="1" ht="21.95" customHeight="1">
      <c r="B8" s="66" t="s">
        <v>20</v>
      </c>
      <c r="C8" s="67">
        <v>2</v>
      </c>
      <c r="D8" s="67">
        <v>2</v>
      </c>
      <c r="E8" s="67" t="s">
        <v>28</v>
      </c>
      <c r="F8" s="70">
        <v>0.25</v>
      </c>
      <c r="G8" s="68"/>
      <c r="H8" s="68"/>
      <c r="I8" s="68"/>
      <c r="J8" s="58"/>
    </row>
    <row r="9" spans="2:10" s="57" customFormat="1" ht="21.95" customHeight="1">
      <c r="B9" s="66" t="s">
        <v>20</v>
      </c>
      <c r="C9" s="67">
        <v>1</v>
      </c>
      <c r="D9" s="67">
        <v>3</v>
      </c>
      <c r="E9" s="67" t="s">
        <v>29</v>
      </c>
      <c r="F9" s="70">
        <v>0.05</v>
      </c>
      <c r="G9" s="68"/>
      <c r="H9" s="68"/>
      <c r="I9" s="68"/>
      <c r="J9" s="58"/>
    </row>
    <row r="10" spans="2:10" s="57" customFormat="1" ht="21.95" customHeight="1">
      <c r="B10" s="66" t="s">
        <v>20</v>
      </c>
      <c r="C10" s="67">
        <v>1</v>
      </c>
      <c r="D10" s="67">
        <v>3</v>
      </c>
      <c r="E10" s="67" t="s">
        <v>30</v>
      </c>
      <c r="F10" s="70">
        <v>0.24</v>
      </c>
      <c r="G10" s="68"/>
      <c r="H10" s="68"/>
      <c r="I10" s="68"/>
      <c r="J10" s="58"/>
    </row>
    <row r="11" spans="2:10" s="57" customFormat="1" ht="21.95" customHeight="1">
      <c r="B11" s="66" t="s">
        <v>20</v>
      </c>
      <c r="C11" s="67">
        <v>1</v>
      </c>
      <c r="D11" s="67">
        <v>3</v>
      </c>
      <c r="E11" s="67" t="s">
        <v>31</v>
      </c>
      <c r="F11" s="70"/>
      <c r="G11" s="68"/>
      <c r="H11" s="68"/>
      <c r="I11" s="68"/>
      <c r="J11" s="58"/>
    </row>
    <row r="12" spans="2:10" s="57" customFormat="1" ht="21.95" customHeight="1">
      <c r="B12" s="66" t="s">
        <v>20</v>
      </c>
      <c r="C12" s="67">
        <v>1</v>
      </c>
      <c r="D12" s="67">
        <v>3</v>
      </c>
      <c r="E12" s="67" t="s">
        <v>32</v>
      </c>
      <c r="F12" s="70"/>
      <c r="G12" s="68"/>
      <c r="H12" s="68"/>
      <c r="I12" s="68"/>
      <c r="J12" s="58"/>
    </row>
    <row r="13" spans="2:10" s="57" customFormat="1" ht="21.95" customHeight="1">
      <c r="B13" s="66" t="s">
        <v>20</v>
      </c>
      <c r="C13" s="67">
        <v>1</v>
      </c>
      <c r="D13" s="67">
        <v>3</v>
      </c>
      <c r="E13" s="67" t="s">
        <v>33</v>
      </c>
      <c r="F13" s="70">
        <v>0.17</v>
      </c>
      <c r="G13" s="68"/>
      <c r="H13" s="68"/>
      <c r="I13" s="68"/>
      <c r="J13" s="58"/>
    </row>
    <row r="14" spans="2:10" s="57" customFormat="1" ht="21.95" customHeight="1">
      <c r="B14" s="66" t="s">
        <v>20</v>
      </c>
      <c r="C14" s="67">
        <v>1</v>
      </c>
      <c r="D14" s="67">
        <v>3</v>
      </c>
      <c r="E14" s="67" t="s">
        <v>34</v>
      </c>
      <c r="F14" s="70"/>
      <c r="G14" s="68"/>
      <c r="H14" s="68"/>
      <c r="I14" s="68"/>
      <c r="J14" s="58"/>
    </row>
    <row r="15" spans="2:10" s="57" customFormat="1" ht="21.95" customHeight="1">
      <c r="B15" s="66" t="s">
        <v>20</v>
      </c>
      <c r="C15" s="67">
        <v>1</v>
      </c>
      <c r="D15" s="67">
        <v>3</v>
      </c>
      <c r="E15" s="67" t="s">
        <v>35</v>
      </c>
      <c r="F15" s="70"/>
      <c r="G15" s="68"/>
      <c r="H15" s="68"/>
      <c r="I15" s="68"/>
      <c r="J15" s="58"/>
    </row>
    <row r="16" spans="2:10" s="57" customFormat="1" ht="21.95" customHeight="1">
      <c r="B16" s="66" t="s">
        <v>20</v>
      </c>
      <c r="C16" s="67">
        <v>1</v>
      </c>
      <c r="D16" s="67">
        <v>3</v>
      </c>
      <c r="E16" s="67" t="s">
        <v>36</v>
      </c>
      <c r="F16" s="70"/>
      <c r="G16" s="68"/>
      <c r="H16" s="68"/>
      <c r="I16" s="68"/>
      <c r="J16" s="58"/>
    </row>
    <row r="17" spans="2:10" s="57" customFormat="1" ht="21.95" customHeight="1">
      <c r="B17" s="66" t="s">
        <v>20</v>
      </c>
      <c r="C17" s="67">
        <v>1</v>
      </c>
      <c r="D17" s="67">
        <v>3</v>
      </c>
      <c r="E17" s="67" t="s">
        <v>37</v>
      </c>
      <c r="F17" s="70"/>
      <c r="G17" s="68"/>
      <c r="H17" s="68"/>
      <c r="I17" s="68"/>
      <c r="J17" s="58"/>
    </row>
    <row r="18" spans="2:10" s="57" customFormat="1" ht="21.95" customHeight="1">
      <c r="B18" s="66" t="s">
        <v>20</v>
      </c>
      <c r="C18" s="67">
        <v>1</v>
      </c>
      <c r="D18" s="67">
        <v>3</v>
      </c>
      <c r="E18" s="67" t="s">
        <v>38</v>
      </c>
      <c r="F18" s="70"/>
      <c r="G18" s="68"/>
      <c r="H18" s="68"/>
      <c r="I18" s="68"/>
      <c r="J18" s="58"/>
    </row>
    <row r="19" spans="2:10" s="57" customFormat="1" ht="21.95" customHeight="1">
      <c r="B19" s="66" t="s">
        <v>20</v>
      </c>
      <c r="C19" s="67">
        <v>1</v>
      </c>
      <c r="D19" s="67">
        <v>3</v>
      </c>
      <c r="E19" s="67" t="s">
        <v>39</v>
      </c>
      <c r="F19" s="70">
        <v>0.03</v>
      </c>
      <c r="G19" s="68"/>
      <c r="H19" s="68"/>
      <c r="I19" s="68"/>
      <c r="J19" s="58"/>
    </row>
    <row r="20" spans="2:10" s="57" customFormat="1" ht="21.95" customHeight="1">
      <c r="B20" s="66" t="s">
        <v>20</v>
      </c>
      <c r="C20" s="67">
        <v>2</v>
      </c>
      <c r="D20" s="67">
        <v>3</v>
      </c>
      <c r="E20" s="67" t="s">
        <v>40</v>
      </c>
      <c r="F20" s="70"/>
      <c r="G20" s="68"/>
      <c r="H20" s="68"/>
      <c r="I20" s="68"/>
      <c r="J20" s="58"/>
    </row>
    <row r="21" spans="2:10" s="57" customFormat="1" ht="21.95" customHeight="1">
      <c r="B21" s="66" t="s">
        <v>20</v>
      </c>
      <c r="C21" s="67">
        <v>2</v>
      </c>
      <c r="D21" s="67">
        <v>3</v>
      </c>
      <c r="E21" s="67" t="s">
        <v>41</v>
      </c>
      <c r="F21" s="70"/>
      <c r="G21" s="68"/>
      <c r="H21" s="68"/>
      <c r="I21" s="68"/>
      <c r="J21" s="58"/>
    </row>
    <row r="22" spans="2:10" s="57" customFormat="1" ht="21.95" customHeight="1">
      <c r="B22" s="66" t="s">
        <v>20</v>
      </c>
      <c r="C22" s="67">
        <v>2</v>
      </c>
      <c r="D22" s="67">
        <v>3</v>
      </c>
      <c r="E22" s="67" t="s">
        <v>42</v>
      </c>
      <c r="F22" s="70">
        <v>0.24</v>
      </c>
      <c r="G22" s="68"/>
      <c r="H22" s="68"/>
      <c r="I22" s="68"/>
      <c r="J22" s="58"/>
    </row>
    <row r="23" spans="2:10" s="57" customFormat="1" ht="21.95" customHeight="1">
      <c r="B23" s="66" t="s">
        <v>20</v>
      </c>
      <c r="C23" s="67">
        <v>2</v>
      </c>
      <c r="D23" s="67">
        <v>3</v>
      </c>
      <c r="E23" s="67" t="s">
        <v>43</v>
      </c>
      <c r="F23" s="70">
        <v>0.23</v>
      </c>
      <c r="G23" s="68"/>
      <c r="H23" s="68"/>
      <c r="I23" s="68"/>
      <c r="J23" s="58"/>
    </row>
    <row r="24" spans="2:10" s="57" customFormat="1" ht="21.95" customHeight="1">
      <c r="B24" s="66" t="s">
        <v>20</v>
      </c>
      <c r="C24" s="67">
        <v>2</v>
      </c>
      <c r="D24" s="67">
        <v>3</v>
      </c>
      <c r="E24" s="67" t="s">
        <v>44</v>
      </c>
      <c r="F24" s="70">
        <v>0.1</v>
      </c>
      <c r="G24" s="68"/>
      <c r="H24" s="68"/>
      <c r="I24" s="68"/>
      <c r="J24" s="58"/>
    </row>
    <row r="25" spans="2:10" s="57" customFormat="1" ht="21.95" customHeight="1">
      <c r="B25" s="66" t="s">
        <v>20</v>
      </c>
      <c r="C25" s="67">
        <v>2</v>
      </c>
      <c r="D25" s="67">
        <v>3</v>
      </c>
      <c r="E25" s="67" t="s">
        <v>45</v>
      </c>
      <c r="F25" s="70"/>
      <c r="G25" s="68"/>
      <c r="H25" s="68"/>
      <c r="I25" s="68"/>
      <c r="J25" s="58"/>
    </row>
    <row r="26" spans="2:10" s="57" customFormat="1" ht="21.95" customHeight="1">
      <c r="B26" s="66" t="s">
        <v>20</v>
      </c>
      <c r="C26" s="67">
        <v>2</v>
      </c>
      <c r="D26" s="67">
        <v>3</v>
      </c>
      <c r="E26" s="67" t="s">
        <v>46</v>
      </c>
      <c r="F26" s="70"/>
      <c r="G26" s="68"/>
      <c r="H26" s="68"/>
      <c r="I26" s="68"/>
      <c r="J26" s="58"/>
    </row>
    <row r="27" spans="2:10" s="57" customFormat="1" ht="21.95" customHeight="1">
      <c r="B27" s="66" t="s">
        <v>47</v>
      </c>
      <c r="C27" s="67">
        <v>1</v>
      </c>
      <c r="D27" s="67">
        <v>1</v>
      </c>
      <c r="E27" s="67" t="s">
        <v>48</v>
      </c>
      <c r="F27" s="70"/>
      <c r="G27" s="68"/>
      <c r="H27" s="68"/>
      <c r="I27" s="68"/>
      <c r="J27" s="58"/>
    </row>
    <row r="28" spans="2:10" s="57" customFormat="1" ht="21.95" customHeight="1">
      <c r="B28" s="66" t="s">
        <v>47</v>
      </c>
      <c r="C28" s="67">
        <v>1</v>
      </c>
      <c r="D28" s="67">
        <v>1</v>
      </c>
      <c r="E28" s="67" t="s">
        <v>49</v>
      </c>
      <c r="F28" s="70">
        <v>0.25</v>
      </c>
      <c r="G28" s="68"/>
      <c r="H28" s="68"/>
      <c r="I28" s="68"/>
      <c r="J28" s="58"/>
    </row>
    <row r="29" spans="2:10" s="57" customFormat="1" ht="21.95" customHeight="1">
      <c r="B29" s="66" t="s">
        <v>47</v>
      </c>
      <c r="C29" s="67">
        <v>1</v>
      </c>
      <c r="D29" s="67">
        <v>2</v>
      </c>
      <c r="E29" s="67" t="s">
        <v>50</v>
      </c>
      <c r="F29" s="70">
        <v>0.05</v>
      </c>
      <c r="G29" s="68"/>
      <c r="H29" s="68"/>
      <c r="I29" s="68"/>
      <c r="J29" s="58"/>
    </row>
    <row r="30" spans="2:10" s="57" customFormat="1" ht="21.95" customHeight="1">
      <c r="B30" s="66" t="s">
        <v>51</v>
      </c>
      <c r="C30" s="67">
        <v>1</v>
      </c>
      <c r="D30" s="67">
        <v>1</v>
      </c>
      <c r="E30" s="67" t="s">
        <v>52</v>
      </c>
      <c r="F30" s="69">
        <v>0.45</v>
      </c>
      <c r="G30" s="68"/>
      <c r="H30" s="68"/>
      <c r="I30" s="68"/>
      <c r="J30" s="58"/>
    </row>
    <row r="31" spans="2:10" s="57" customFormat="1" ht="21.95" customHeight="1">
      <c r="B31" s="66" t="s">
        <v>51</v>
      </c>
      <c r="C31" s="67">
        <v>1</v>
      </c>
      <c r="D31" s="67">
        <v>1</v>
      </c>
      <c r="E31" s="67" t="s">
        <v>53</v>
      </c>
      <c r="F31" s="69">
        <v>0.35</v>
      </c>
      <c r="G31" s="68"/>
      <c r="H31" s="68"/>
      <c r="I31" s="68"/>
      <c r="J31" s="58"/>
    </row>
    <row r="32" spans="2:10" s="57" customFormat="1" ht="21.95" customHeight="1">
      <c r="B32" s="66" t="s">
        <v>51</v>
      </c>
      <c r="C32" s="67">
        <v>1</v>
      </c>
      <c r="D32" s="67">
        <v>1</v>
      </c>
      <c r="E32" s="67" t="s">
        <v>54</v>
      </c>
      <c r="F32" s="69"/>
      <c r="G32" s="68"/>
      <c r="H32" s="68"/>
      <c r="I32" s="68"/>
      <c r="J32" s="58"/>
    </row>
    <row r="33" spans="2:10" s="57" customFormat="1" ht="21.95" customHeight="1">
      <c r="B33" s="66" t="s">
        <v>51</v>
      </c>
      <c r="C33" s="67">
        <v>1</v>
      </c>
      <c r="D33" s="67">
        <v>1</v>
      </c>
      <c r="E33" s="67" t="s">
        <v>55</v>
      </c>
      <c r="F33" s="69"/>
      <c r="G33" s="68"/>
      <c r="H33" s="68"/>
      <c r="I33" s="68"/>
      <c r="J33" s="58"/>
    </row>
    <row r="34" spans="2:10" s="57" customFormat="1" ht="21.95" customHeight="1">
      <c r="B34" s="66" t="s">
        <v>51</v>
      </c>
      <c r="C34" s="67">
        <v>1</v>
      </c>
      <c r="D34" s="67">
        <v>1</v>
      </c>
      <c r="E34" s="67" t="s">
        <v>56</v>
      </c>
      <c r="F34" s="69">
        <v>0.25</v>
      </c>
      <c r="G34" s="68"/>
      <c r="H34" s="68"/>
      <c r="I34" s="68"/>
      <c r="J34" s="58"/>
    </row>
    <row r="35" spans="2:10" s="57" customFormat="1" ht="21.95" customHeight="1">
      <c r="B35" s="66" t="s">
        <v>51</v>
      </c>
      <c r="C35" s="67">
        <v>1</v>
      </c>
      <c r="D35" s="67">
        <v>1</v>
      </c>
      <c r="E35" s="67" t="s">
        <v>57</v>
      </c>
      <c r="F35" s="69"/>
      <c r="G35" s="68"/>
      <c r="H35" s="68"/>
      <c r="I35" s="68"/>
      <c r="J35" s="58"/>
    </row>
    <row r="36" spans="2:10" s="57" customFormat="1" ht="21.95" customHeight="1">
      <c r="B36" s="66" t="s">
        <v>51</v>
      </c>
      <c r="C36" s="67">
        <v>2</v>
      </c>
      <c r="D36" s="67">
        <v>1</v>
      </c>
      <c r="E36" s="67" t="s">
        <v>58</v>
      </c>
      <c r="F36" s="69"/>
      <c r="G36" s="68"/>
      <c r="H36" s="68"/>
      <c r="I36" s="68"/>
      <c r="J36" s="58"/>
    </row>
    <row r="37" spans="2:10" s="57" customFormat="1" ht="21.95" customHeight="1">
      <c r="B37" s="66" t="s">
        <v>51</v>
      </c>
      <c r="C37" s="67">
        <v>2</v>
      </c>
      <c r="D37" s="67">
        <v>1</v>
      </c>
      <c r="E37" s="67" t="s">
        <v>59</v>
      </c>
      <c r="F37" s="69">
        <v>0.17</v>
      </c>
      <c r="G37" s="68"/>
      <c r="H37" s="68"/>
      <c r="I37" s="68"/>
      <c r="J37" s="58"/>
    </row>
    <row r="38" spans="2:10" s="57" customFormat="1" ht="21.95" customHeight="1">
      <c r="B38" s="66" t="s">
        <v>51</v>
      </c>
      <c r="C38" s="67">
        <v>2</v>
      </c>
      <c r="D38" s="67">
        <v>2</v>
      </c>
      <c r="E38" s="67" t="s">
        <v>60</v>
      </c>
      <c r="F38" s="69"/>
      <c r="G38" s="68"/>
      <c r="H38" s="68"/>
      <c r="I38" s="68"/>
      <c r="J38" s="58"/>
    </row>
    <row r="39" spans="2:10" s="57" customFormat="1" ht="21.95" customHeight="1">
      <c r="B39" s="66" t="s">
        <v>51</v>
      </c>
      <c r="C39" s="67">
        <v>2</v>
      </c>
      <c r="D39" s="67">
        <v>2</v>
      </c>
      <c r="E39" s="67" t="s">
        <v>61</v>
      </c>
      <c r="F39" s="69">
        <v>0.08</v>
      </c>
      <c r="G39" s="68"/>
      <c r="H39" s="68"/>
      <c r="I39" s="68"/>
      <c r="J39" s="58"/>
    </row>
    <row r="40" spans="2:10" s="57" customFormat="1" ht="21.95" customHeight="1">
      <c r="B40" s="66" t="s">
        <v>51</v>
      </c>
      <c r="C40" s="67">
        <v>2</v>
      </c>
      <c r="D40" s="67">
        <v>2</v>
      </c>
      <c r="E40" s="67" t="s">
        <v>62</v>
      </c>
      <c r="F40" s="69"/>
      <c r="G40" s="68"/>
      <c r="H40" s="68"/>
      <c r="I40" s="68"/>
      <c r="J40" s="58"/>
    </row>
    <row r="41" spans="2:10" s="57" customFormat="1" ht="21.95" customHeight="1">
      <c r="B41" s="66" t="s">
        <v>51</v>
      </c>
      <c r="C41" s="67">
        <v>3</v>
      </c>
      <c r="D41" s="67">
        <v>2</v>
      </c>
      <c r="E41" s="67" t="s">
        <v>63</v>
      </c>
      <c r="F41" s="69">
        <v>0.65</v>
      </c>
      <c r="G41" s="68"/>
      <c r="H41" s="68"/>
      <c r="I41" s="68"/>
      <c r="J41" s="58"/>
    </row>
    <row r="42" spans="2:10" s="57" customFormat="1" ht="21.95" customHeight="1">
      <c r="B42" s="66" t="s">
        <v>51</v>
      </c>
      <c r="C42" s="67">
        <v>3</v>
      </c>
      <c r="D42" s="67">
        <v>2</v>
      </c>
      <c r="E42" s="67" t="s">
        <v>64</v>
      </c>
      <c r="F42" s="69"/>
      <c r="G42" s="68"/>
      <c r="H42" s="68"/>
      <c r="I42" s="68"/>
      <c r="J42" s="58"/>
    </row>
    <row r="43" spans="2:10" s="57" customFormat="1" ht="21.95" customHeight="1">
      <c r="B43" s="66" t="s">
        <v>51</v>
      </c>
      <c r="C43" s="67">
        <v>3</v>
      </c>
      <c r="D43" s="67">
        <v>2</v>
      </c>
      <c r="E43" s="67" t="s">
        <v>65</v>
      </c>
      <c r="F43" s="69">
        <v>0.38</v>
      </c>
      <c r="G43" s="68"/>
      <c r="H43" s="68"/>
      <c r="I43" s="68"/>
      <c r="J43" s="58"/>
    </row>
    <row r="44" spans="2:10" s="57" customFormat="1" ht="21.95" customHeight="1">
      <c r="B44" s="66" t="s">
        <v>51</v>
      </c>
      <c r="C44" s="67">
        <v>2</v>
      </c>
      <c r="D44" s="67">
        <v>3</v>
      </c>
      <c r="E44" s="67" t="s">
        <v>66</v>
      </c>
      <c r="F44" s="69"/>
      <c r="G44" s="68"/>
      <c r="H44" s="68"/>
      <c r="I44" s="68"/>
      <c r="J44" s="58"/>
    </row>
    <row r="45" spans="2:10" s="57" customFormat="1" ht="21.95" customHeight="1">
      <c r="B45" s="66" t="s">
        <v>51</v>
      </c>
      <c r="C45" s="67">
        <v>2</v>
      </c>
      <c r="D45" s="67">
        <v>3</v>
      </c>
      <c r="E45" s="67" t="s">
        <v>67</v>
      </c>
      <c r="F45" s="69"/>
      <c r="G45" s="68"/>
      <c r="H45" s="68"/>
      <c r="I45" s="68"/>
      <c r="J45" s="58"/>
    </row>
    <row r="46" spans="2:10" s="57" customFormat="1" ht="21.95" customHeight="1">
      <c r="B46" s="66" t="s">
        <v>51</v>
      </c>
      <c r="C46" s="67">
        <v>3</v>
      </c>
      <c r="D46" s="67">
        <v>3</v>
      </c>
      <c r="E46" s="67" t="s">
        <v>68</v>
      </c>
      <c r="F46" s="69">
        <v>0.3</v>
      </c>
      <c r="G46" s="68"/>
      <c r="H46" s="68"/>
      <c r="I46" s="68"/>
      <c r="J46" s="58"/>
    </row>
    <row r="47" spans="2:10" s="57" customFormat="1" ht="21.95" customHeight="1">
      <c r="B47" s="66" t="s">
        <v>51</v>
      </c>
      <c r="C47" s="67">
        <v>3</v>
      </c>
      <c r="D47" s="67">
        <v>3</v>
      </c>
      <c r="E47" s="67" t="s">
        <v>69</v>
      </c>
      <c r="F47" s="69">
        <v>0.15</v>
      </c>
      <c r="G47" s="68"/>
      <c r="H47" s="68"/>
      <c r="I47" s="68"/>
      <c r="J47" s="58"/>
    </row>
    <row r="48" spans="2:10" s="57" customFormat="1" ht="21.95" customHeight="1">
      <c r="B48" s="66" t="s">
        <v>51</v>
      </c>
      <c r="C48" s="67">
        <v>3</v>
      </c>
      <c r="D48" s="67">
        <v>3</v>
      </c>
      <c r="E48" s="67" t="s">
        <v>70</v>
      </c>
      <c r="F48" s="69"/>
      <c r="G48" s="68"/>
      <c r="H48" s="68"/>
      <c r="I48" s="68"/>
      <c r="J48" s="58"/>
    </row>
    <row r="49" spans="2:10" s="57" customFormat="1" ht="21.95" customHeight="1">
      <c r="B49" s="66" t="s">
        <v>71</v>
      </c>
      <c r="C49" s="67">
        <v>1</v>
      </c>
      <c r="D49" s="67">
        <v>1</v>
      </c>
      <c r="E49" s="67" t="s">
        <v>72</v>
      </c>
      <c r="F49" s="69">
        <v>0.12</v>
      </c>
      <c r="G49" s="68"/>
      <c r="H49" s="68"/>
      <c r="I49" s="68"/>
      <c r="J49" s="58"/>
    </row>
    <row r="50" spans="2:10" s="57" customFormat="1" ht="21.95" customHeight="1">
      <c r="B50" s="66" t="s">
        <v>71</v>
      </c>
      <c r="C50" s="67">
        <v>1</v>
      </c>
      <c r="D50" s="67">
        <v>1</v>
      </c>
      <c r="E50" s="67" t="s">
        <v>73</v>
      </c>
      <c r="F50" s="69">
        <v>0.05</v>
      </c>
      <c r="G50" s="68"/>
      <c r="H50" s="68"/>
      <c r="I50" s="68"/>
      <c r="J50" s="58"/>
    </row>
    <row r="51" spans="2:10" s="57" customFormat="1" ht="21.95" customHeight="1">
      <c r="B51" s="66" t="s">
        <v>71</v>
      </c>
      <c r="C51" s="67">
        <v>1</v>
      </c>
      <c r="D51" s="67">
        <v>1</v>
      </c>
      <c r="E51" s="67" t="s">
        <v>74</v>
      </c>
      <c r="F51" s="69">
        <v>0.1</v>
      </c>
      <c r="G51" s="68"/>
      <c r="H51" s="68"/>
      <c r="I51" s="68"/>
      <c r="J51" s="58"/>
    </row>
    <row r="52" spans="2:10" s="57" customFormat="1" ht="21.95" customHeight="1">
      <c r="B52" s="66" t="s">
        <v>71</v>
      </c>
      <c r="C52" s="67">
        <v>2</v>
      </c>
      <c r="D52" s="67">
        <v>1</v>
      </c>
      <c r="E52" s="67" t="s">
        <v>75</v>
      </c>
      <c r="F52" s="69">
        <v>0.3</v>
      </c>
      <c r="G52" s="68"/>
      <c r="H52" s="68"/>
      <c r="I52" s="68"/>
      <c r="J52" s="58"/>
    </row>
    <row r="53" spans="2:10" s="57" customFormat="1" ht="21.95" customHeight="1">
      <c r="B53" s="66" t="s">
        <v>71</v>
      </c>
      <c r="C53" s="67">
        <v>2</v>
      </c>
      <c r="D53" s="67">
        <v>1</v>
      </c>
      <c r="E53" s="67" t="s">
        <v>76</v>
      </c>
      <c r="F53" s="69">
        <f>(10+11+2.5)%</f>
        <v>0.23499999999999999</v>
      </c>
      <c r="G53" s="68"/>
      <c r="H53" s="68"/>
      <c r="I53" s="68"/>
      <c r="J53" s="58"/>
    </row>
    <row r="54" spans="2:10" s="57" customFormat="1" ht="21.95" customHeight="1">
      <c r="B54" s="66" t="s">
        <v>71</v>
      </c>
      <c r="C54" s="67">
        <v>1</v>
      </c>
      <c r="D54" s="67">
        <v>2</v>
      </c>
      <c r="E54" s="67" t="s">
        <v>77</v>
      </c>
      <c r="F54" s="69">
        <v>0.08</v>
      </c>
      <c r="G54" s="68"/>
      <c r="H54" s="68"/>
      <c r="I54" s="68"/>
      <c r="J54" s="58"/>
    </row>
    <row r="55" spans="2:10" s="57" customFormat="1" ht="21.95" customHeight="1">
      <c r="B55" s="66" t="s">
        <v>71</v>
      </c>
      <c r="C55" s="67">
        <v>1</v>
      </c>
      <c r="D55" s="67">
        <v>2</v>
      </c>
      <c r="E55" s="67" t="s">
        <v>78</v>
      </c>
      <c r="F55" s="69">
        <v>0.1</v>
      </c>
      <c r="G55" s="68"/>
      <c r="H55" s="68"/>
      <c r="I55" s="68"/>
      <c r="J55" s="58"/>
    </row>
    <row r="56" spans="2:10" s="57" customFormat="1" ht="21.95" customHeight="1">
      <c r="B56" s="66" t="s">
        <v>71</v>
      </c>
      <c r="C56" s="67">
        <v>2</v>
      </c>
      <c r="D56" s="67">
        <v>2</v>
      </c>
      <c r="E56" s="67" t="s">
        <v>79</v>
      </c>
      <c r="F56" s="69">
        <v>0.1</v>
      </c>
      <c r="G56" s="68"/>
      <c r="H56" s="68"/>
      <c r="I56" s="68"/>
      <c r="J56" s="58"/>
    </row>
    <row r="57" spans="2:10" s="57" customFormat="1" ht="21.95" customHeight="1">
      <c r="B57" s="66" t="s">
        <v>71</v>
      </c>
      <c r="C57" s="67">
        <v>2</v>
      </c>
      <c r="D57" s="67">
        <v>2</v>
      </c>
      <c r="E57" s="67" t="s">
        <v>80</v>
      </c>
      <c r="F57" s="69">
        <v>0.6</v>
      </c>
      <c r="G57" s="68"/>
      <c r="H57" s="68"/>
      <c r="I57" s="68"/>
      <c r="J57" s="58"/>
    </row>
    <row r="58" spans="2:10" s="57" customFormat="1" ht="21.95" customHeight="1">
      <c r="B58" s="66" t="s">
        <v>71</v>
      </c>
      <c r="C58" s="67">
        <v>3</v>
      </c>
      <c r="D58" s="67">
        <v>2</v>
      </c>
      <c r="E58" s="67" t="s">
        <v>81</v>
      </c>
      <c r="F58" s="69">
        <v>0.48</v>
      </c>
      <c r="G58" s="68"/>
      <c r="H58" s="68"/>
      <c r="I58" s="68"/>
      <c r="J58" s="58"/>
    </row>
    <row r="59" spans="2:10" s="57" customFormat="1" ht="21.95" customHeight="1">
      <c r="B59" s="66" t="s">
        <v>71</v>
      </c>
      <c r="C59" s="67">
        <v>3</v>
      </c>
      <c r="D59" s="67">
        <v>2</v>
      </c>
      <c r="E59" s="67" t="s">
        <v>82</v>
      </c>
      <c r="F59" s="69">
        <v>0.3</v>
      </c>
      <c r="G59" s="68"/>
      <c r="H59" s="68"/>
      <c r="I59" s="68"/>
      <c r="J59" s="58"/>
    </row>
    <row r="60" spans="2:10" s="57" customFormat="1" ht="21.95" customHeight="1">
      <c r="B60" s="66" t="s">
        <v>71</v>
      </c>
      <c r="C60" s="67">
        <v>3</v>
      </c>
      <c r="D60" s="67">
        <v>2</v>
      </c>
      <c r="E60" s="67" t="s">
        <v>83</v>
      </c>
      <c r="F60" s="69">
        <v>0.22</v>
      </c>
      <c r="G60" s="68"/>
      <c r="H60" s="68"/>
      <c r="I60" s="68"/>
      <c r="J60" s="58"/>
    </row>
    <row r="61" spans="2:10" s="57" customFormat="1" ht="21.95" customHeight="1">
      <c r="B61" s="66" t="s">
        <v>71</v>
      </c>
      <c r="C61" s="67">
        <v>2</v>
      </c>
      <c r="D61" s="67">
        <v>3</v>
      </c>
      <c r="E61" s="67" t="s">
        <v>84</v>
      </c>
      <c r="F61" s="69">
        <v>0.26</v>
      </c>
      <c r="G61" s="68"/>
      <c r="H61" s="68"/>
      <c r="I61" s="68"/>
      <c r="J61" s="58"/>
    </row>
    <row r="62" spans="2:10" s="57" customFormat="1" ht="21.95" customHeight="1">
      <c r="B62" s="66" t="s">
        <v>71</v>
      </c>
      <c r="C62" s="67">
        <v>2</v>
      </c>
      <c r="D62" s="67">
        <v>3</v>
      </c>
      <c r="E62" s="67" t="s">
        <v>85</v>
      </c>
      <c r="F62" s="69">
        <v>7.0000000000000007E-2</v>
      </c>
      <c r="G62" s="68"/>
      <c r="H62" s="68"/>
      <c r="I62" s="68"/>
      <c r="J62" s="58"/>
    </row>
    <row r="63" spans="2:10" s="57" customFormat="1" ht="21.95" customHeight="1">
      <c r="B63" s="66" t="s">
        <v>71</v>
      </c>
      <c r="C63" s="67">
        <v>1</v>
      </c>
      <c r="D63" s="67">
        <v>3</v>
      </c>
      <c r="E63" s="67" t="s">
        <v>86</v>
      </c>
      <c r="F63" s="69">
        <v>0.15</v>
      </c>
      <c r="G63" s="68"/>
      <c r="H63" s="68"/>
      <c r="I63" s="68"/>
      <c r="J63" s="58"/>
    </row>
    <row r="64" spans="2:10" s="57" customFormat="1" ht="21.95" customHeight="1">
      <c r="B64" s="66" t="s">
        <v>71</v>
      </c>
      <c r="C64" s="67">
        <v>1</v>
      </c>
      <c r="D64" s="67">
        <v>3</v>
      </c>
      <c r="E64" s="67" t="s">
        <v>87</v>
      </c>
      <c r="F64" s="69">
        <v>0.1</v>
      </c>
      <c r="G64" s="68"/>
      <c r="H64" s="68"/>
      <c r="I64" s="68"/>
      <c r="J64" s="58"/>
    </row>
    <row r="65" spans="2:10" s="57" customFormat="1" ht="21.95" customHeight="1">
      <c r="B65" s="66" t="s">
        <v>71</v>
      </c>
      <c r="C65" s="67">
        <v>2</v>
      </c>
      <c r="D65" s="67">
        <v>3</v>
      </c>
      <c r="E65" s="67" t="s">
        <v>88</v>
      </c>
      <c r="F65" s="69">
        <v>0.5</v>
      </c>
      <c r="G65" s="68"/>
      <c r="H65" s="68"/>
      <c r="I65" s="68"/>
      <c r="J65" s="58"/>
    </row>
    <row r="66" spans="2:10" s="57" customFormat="1" ht="21.95" customHeight="1">
      <c r="B66" s="66" t="s">
        <v>71</v>
      </c>
      <c r="C66" s="67">
        <v>2</v>
      </c>
      <c r="D66" s="67">
        <v>3</v>
      </c>
      <c r="E66" s="67" t="s">
        <v>89</v>
      </c>
      <c r="F66" s="69">
        <v>0.17</v>
      </c>
      <c r="G66" s="68"/>
      <c r="H66" s="68"/>
      <c r="I66" s="68"/>
      <c r="J66" s="58"/>
    </row>
    <row r="67" spans="2:10" s="57" customFormat="1" ht="21.95" customHeight="1">
      <c r="B67" s="66" t="s">
        <v>71</v>
      </c>
      <c r="C67" s="67">
        <v>2</v>
      </c>
      <c r="D67" s="67">
        <v>3</v>
      </c>
      <c r="E67" s="67" t="s">
        <v>90</v>
      </c>
      <c r="F67" s="69">
        <v>0.22</v>
      </c>
      <c r="G67" s="68"/>
      <c r="H67" s="68"/>
      <c r="I67" s="68"/>
      <c r="J67" s="58"/>
    </row>
    <row r="68" spans="2:10" s="57" customFormat="1" ht="21.95" customHeight="1">
      <c r="B68" s="66" t="s">
        <v>71</v>
      </c>
      <c r="C68" s="67">
        <v>3</v>
      </c>
      <c r="D68" s="67">
        <v>3</v>
      </c>
      <c r="E68" s="67" t="s">
        <v>91</v>
      </c>
      <c r="F68" s="69">
        <v>0.18</v>
      </c>
      <c r="G68" s="68"/>
      <c r="H68" s="68"/>
      <c r="I68" s="68"/>
      <c r="J68" s="58"/>
    </row>
    <row r="69" spans="2:10" s="57" customFormat="1" ht="21.95" customHeight="1">
      <c r="B69" s="66" t="s">
        <v>71</v>
      </c>
      <c r="C69" s="67">
        <v>3</v>
      </c>
      <c r="D69" s="67">
        <v>3</v>
      </c>
      <c r="E69" s="67" t="s">
        <v>92</v>
      </c>
      <c r="F69" s="69">
        <v>0</v>
      </c>
      <c r="G69" s="68"/>
      <c r="H69" s="68"/>
      <c r="I69" s="68"/>
      <c r="J69" s="58"/>
    </row>
    <row r="70" spans="2:10" s="57" customFormat="1" ht="21.95" customHeight="1">
      <c r="B70" s="66" t="s">
        <v>71</v>
      </c>
      <c r="C70" s="67">
        <v>3</v>
      </c>
      <c r="D70" s="67">
        <v>3</v>
      </c>
      <c r="E70" s="67" t="s">
        <v>93</v>
      </c>
      <c r="F70" s="69">
        <v>0.76</v>
      </c>
      <c r="G70" s="68"/>
      <c r="H70" s="68"/>
      <c r="I70" s="68"/>
      <c r="J70" s="58"/>
    </row>
    <row r="71" spans="2:10" s="57" customFormat="1" ht="21.95" customHeight="1">
      <c r="B71" s="66" t="s">
        <v>71</v>
      </c>
      <c r="C71" s="67">
        <v>3</v>
      </c>
      <c r="D71" s="67">
        <v>3</v>
      </c>
      <c r="E71" s="67" t="s">
        <v>94</v>
      </c>
      <c r="F71" s="69">
        <v>0.75</v>
      </c>
      <c r="G71" s="68"/>
      <c r="H71" s="68"/>
      <c r="I71" s="68"/>
      <c r="J71" s="58"/>
    </row>
    <row r="72" spans="2:10" s="57" customFormat="1" ht="21.95" customHeight="1">
      <c r="B72" s="66" t="s">
        <v>71</v>
      </c>
      <c r="C72" s="67">
        <v>3</v>
      </c>
      <c r="D72" s="67">
        <v>3</v>
      </c>
      <c r="E72" s="67" t="s">
        <v>95</v>
      </c>
      <c r="F72" s="69"/>
      <c r="G72" s="68"/>
      <c r="H72" s="68"/>
      <c r="I72" s="68"/>
      <c r="J72" s="58"/>
    </row>
    <row r="73" spans="2:10" s="57" customFormat="1" ht="21.95" customHeight="1">
      <c r="B73" s="66" t="s">
        <v>71</v>
      </c>
      <c r="C73" s="67">
        <v>3</v>
      </c>
      <c r="D73" s="67">
        <v>3</v>
      </c>
      <c r="E73" s="67" t="s">
        <v>96</v>
      </c>
      <c r="F73" s="69">
        <v>2</v>
      </c>
      <c r="G73" s="68"/>
      <c r="H73" s="68"/>
      <c r="I73" s="68"/>
      <c r="J73" s="58"/>
    </row>
    <row r="74" spans="2:10" s="57" customFormat="1" ht="21.95" customHeight="1">
      <c r="B74" s="66" t="s">
        <v>71</v>
      </c>
      <c r="C74" s="67">
        <v>3</v>
      </c>
      <c r="D74" s="67">
        <v>3</v>
      </c>
      <c r="E74" s="67" t="s">
        <v>97</v>
      </c>
      <c r="F74" s="69"/>
      <c r="G74" s="68"/>
      <c r="H74" s="68"/>
      <c r="I74" s="68"/>
      <c r="J74" s="58"/>
    </row>
    <row r="75" spans="2:10" s="57" customFormat="1" ht="21.95" customHeight="1">
      <c r="B75" s="66" t="s">
        <v>71</v>
      </c>
      <c r="C75" s="67">
        <v>3</v>
      </c>
      <c r="D75" s="67">
        <v>3</v>
      </c>
      <c r="E75" s="67" t="s">
        <v>98</v>
      </c>
      <c r="F75" s="69">
        <v>0.15</v>
      </c>
      <c r="G75" s="68"/>
      <c r="H75" s="68"/>
      <c r="I75" s="68"/>
      <c r="J75" s="58"/>
    </row>
    <row r="76" spans="2:10" s="57" customFormat="1" ht="21.95" customHeight="1">
      <c r="B76" s="66" t="s">
        <v>71</v>
      </c>
      <c r="C76" s="67">
        <v>3</v>
      </c>
      <c r="D76" s="67">
        <v>3</v>
      </c>
      <c r="E76" s="67" t="s">
        <v>99</v>
      </c>
      <c r="F76" s="69"/>
      <c r="G76" s="68"/>
      <c r="H76" s="68"/>
      <c r="I76" s="68"/>
      <c r="J76" s="58"/>
    </row>
    <row r="77" spans="2:10" s="57" customFormat="1" ht="21.95" customHeight="1">
      <c r="B77" s="66" t="s">
        <v>71</v>
      </c>
      <c r="C77" s="67">
        <v>3</v>
      </c>
      <c r="D77" s="67">
        <v>3</v>
      </c>
      <c r="E77" s="67" t="s">
        <v>100</v>
      </c>
      <c r="F77" s="69"/>
      <c r="G77" s="68"/>
      <c r="H77" s="68"/>
      <c r="I77" s="68"/>
      <c r="J77" s="58"/>
    </row>
    <row r="78" spans="2:10" s="57" customFormat="1" ht="21.95" customHeight="1">
      <c r="B78" s="66" t="s">
        <v>71</v>
      </c>
      <c r="C78" s="67">
        <v>3</v>
      </c>
      <c r="D78" s="67">
        <v>3</v>
      </c>
      <c r="E78" s="67" t="s">
        <v>101</v>
      </c>
      <c r="F78" s="69"/>
      <c r="G78" s="68"/>
      <c r="H78" s="68"/>
      <c r="I78" s="68"/>
      <c r="J78" s="58"/>
    </row>
    <row r="79" spans="2:10" s="57" customFormat="1" ht="21.95" customHeight="1">
      <c r="B79" s="66" t="s">
        <v>71</v>
      </c>
      <c r="C79" s="67">
        <v>3</v>
      </c>
      <c r="D79" s="67">
        <v>3</v>
      </c>
      <c r="E79" s="67" t="s">
        <v>102</v>
      </c>
      <c r="F79" s="69">
        <v>0.22</v>
      </c>
      <c r="G79" s="68"/>
      <c r="H79" s="68"/>
      <c r="I79" s="68"/>
      <c r="J79" s="58"/>
    </row>
    <row r="80" spans="2:10" s="57" customFormat="1" ht="21.95" customHeight="1">
      <c r="B80" s="66" t="s">
        <v>71</v>
      </c>
      <c r="C80" s="67">
        <v>3</v>
      </c>
      <c r="D80" s="67">
        <v>3</v>
      </c>
      <c r="E80" s="67" t="s">
        <v>103</v>
      </c>
      <c r="F80" s="69">
        <v>0.15</v>
      </c>
      <c r="G80" s="68"/>
      <c r="H80" s="68"/>
      <c r="I80" s="68"/>
      <c r="J80" s="58"/>
    </row>
    <row r="81" spans="2:10" s="57" customFormat="1" ht="21.95" customHeight="1">
      <c r="B81" s="66" t="s">
        <v>71</v>
      </c>
      <c r="C81" s="67">
        <v>3</v>
      </c>
      <c r="D81" s="67">
        <v>3</v>
      </c>
      <c r="E81" s="67" t="s">
        <v>104</v>
      </c>
      <c r="F81" s="69">
        <v>7.0000000000000007E-2</v>
      </c>
      <c r="G81" s="68"/>
      <c r="H81" s="68"/>
      <c r="I81" s="68"/>
      <c r="J81" s="58"/>
    </row>
    <row r="82" spans="2:10" s="57" customFormat="1" ht="21.95" customHeight="1">
      <c r="B82" s="66" t="s">
        <v>71</v>
      </c>
      <c r="C82" s="67">
        <v>3</v>
      </c>
      <c r="D82" s="67">
        <v>3</v>
      </c>
      <c r="E82" s="67" t="s">
        <v>105</v>
      </c>
      <c r="F82" s="69">
        <v>0.2</v>
      </c>
      <c r="G82" s="68"/>
      <c r="H82" s="68"/>
      <c r="I82" s="68"/>
      <c r="J82" s="58"/>
    </row>
    <row r="83" spans="2:10" s="57" customFormat="1" ht="21.95" customHeight="1">
      <c r="B83" s="66" t="s">
        <v>71</v>
      </c>
      <c r="C83" s="67">
        <v>3</v>
      </c>
      <c r="D83" s="67">
        <v>3</v>
      </c>
      <c r="E83" s="67" t="s">
        <v>106</v>
      </c>
      <c r="F83" s="69">
        <v>0.35</v>
      </c>
      <c r="G83" s="68"/>
      <c r="H83" s="68"/>
      <c r="I83" s="68"/>
      <c r="J83" s="58"/>
    </row>
    <row r="84" spans="2:10" s="57" customFormat="1" ht="21.95" customHeight="1">
      <c r="B84" s="66" t="s">
        <v>71</v>
      </c>
      <c r="C84" s="67">
        <v>3</v>
      </c>
      <c r="D84" s="67">
        <v>3</v>
      </c>
      <c r="E84" s="67" t="s">
        <v>107</v>
      </c>
      <c r="F84" s="69"/>
      <c r="G84" s="68"/>
      <c r="H84" s="68"/>
      <c r="I84" s="68"/>
      <c r="J84" s="58"/>
    </row>
    <row r="85" spans="2:10" s="57" customFormat="1" ht="21.95" customHeight="1">
      <c r="B85" s="66" t="s">
        <v>71</v>
      </c>
      <c r="C85" s="67">
        <v>3</v>
      </c>
      <c r="D85" s="67">
        <v>3</v>
      </c>
      <c r="E85" s="67" t="s">
        <v>108</v>
      </c>
      <c r="F85" s="69"/>
      <c r="G85" s="68"/>
      <c r="H85" s="68"/>
      <c r="I85" s="68"/>
      <c r="J85" s="58"/>
    </row>
    <row r="86" spans="2:10" s="57" customFormat="1" ht="21.95" customHeight="1">
      <c r="B86" s="66" t="s">
        <v>71</v>
      </c>
      <c r="C86" s="67">
        <v>3</v>
      </c>
      <c r="D86" s="67">
        <v>3</v>
      </c>
      <c r="E86" s="67" t="s">
        <v>109</v>
      </c>
      <c r="F86" s="69"/>
      <c r="G86" s="68"/>
      <c r="H86" s="68"/>
      <c r="I86" s="68"/>
      <c r="J86" s="58"/>
    </row>
    <row r="87" spans="2:10" s="57" customFormat="1" ht="21.95" customHeight="1">
      <c r="B87" s="66" t="s">
        <v>71</v>
      </c>
      <c r="C87" s="67">
        <v>3</v>
      </c>
      <c r="D87" s="67">
        <v>3</v>
      </c>
      <c r="E87" s="67" t="s">
        <v>110</v>
      </c>
      <c r="F87" s="69"/>
      <c r="G87" s="68"/>
      <c r="H87" s="68"/>
      <c r="I87" s="68"/>
      <c r="J87" s="58"/>
    </row>
    <row r="88" spans="2:10" s="57" customFormat="1" ht="21.95" customHeight="1">
      <c r="B88" s="66" t="s">
        <v>71</v>
      </c>
      <c r="C88" s="67">
        <v>3</v>
      </c>
      <c r="D88" s="67">
        <v>3</v>
      </c>
      <c r="E88" s="67" t="s">
        <v>111</v>
      </c>
      <c r="F88" s="69"/>
      <c r="G88" s="68"/>
      <c r="H88" s="68"/>
      <c r="I88" s="68"/>
      <c r="J88" s="58"/>
    </row>
    <row r="89" spans="2:10" s="57" customFormat="1" ht="21.95" customHeight="1">
      <c r="B89" s="66" t="s">
        <v>71</v>
      </c>
      <c r="C89" s="67">
        <v>3</v>
      </c>
      <c r="D89" s="67">
        <v>3</v>
      </c>
      <c r="E89" s="67" t="s">
        <v>112</v>
      </c>
      <c r="F89" s="69"/>
      <c r="G89" s="68"/>
      <c r="H89" s="68"/>
      <c r="I89" s="68"/>
      <c r="J89" s="58"/>
    </row>
    <row r="90" spans="2:10" s="57" customFormat="1" ht="21.95" customHeight="1">
      <c r="B90" s="66" t="s">
        <v>71</v>
      </c>
      <c r="C90" s="67">
        <v>3</v>
      </c>
      <c r="D90" s="67">
        <v>3</v>
      </c>
      <c r="E90" s="67" t="s">
        <v>113</v>
      </c>
      <c r="F90" s="69">
        <v>0.19</v>
      </c>
      <c r="G90" s="68"/>
      <c r="H90" s="68"/>
      <c r="I90" s="68"/>
      <c r="J90" s="58"/>
    </row>
    <row r="91" spans="2:10" s="57" customFormat="1" ht="21.95" customHeight="1">
      <c r="B91" s="66" t="s">
        <v>71</v>
      </c>
      <c r="C91" s="67">
        <v>3</v>
      </c>
      <c r="D91" s="67">
        <v>3</v>
      </c>
      <c r="E91" s="67" t="s">
        <v>114</v>
      </c>
      <c r="F91" s="69"/>
      <c r="G91" s="68"/>
      <c r="H91" s="68"/>
      <c r="I91" s="68"/>
      <c r="J91" s="58"/>
    </row>
    <row r="92" spans="2:10" s="57" customFormat="1" ht="21.95" customHeight="1">
      <c r="B92" s="66" t="s">
        <v>71</v>
      </c>
      <c r="C92" s="67">
        <v>3</v>
      </c>
      <c r="D92" s="67">
        <v>3</v>
      </c>
      <c r="E92" s="67" t="s">
        <v>115</v>
      </c>
      <c r="F92" s="69"/>
      <c r="G92" s="68"/>
      <c r="H92" s="68"/>
      <c r="I92" s="68"/>
      <c r="J92" s="58"/>
    </row>
    <row r="93" spans="2:10" s="57" customFormat="1" ht="21.95" customHeight="1">
      <c r="B93" s="66" t="s">
        <v>71</v>
      </c>
      <c r="C93" s="67">
        <v>3</v>
      </c>
      <c r="D93" s="67">
        <v>3</v>
      </c>
      <c r="E93" s="67" t="s">
        <v>116</v>
      </c>
      <c r="F93" s="69"/>
      <c r="G93" s="68"/>
      <c r="H93" s="68"/>
      <c r="I93" s="68"/>
      <c r="J93" s="58"/>
    </row>
    <row r="94" spans="2:10" s="57" customFormat="1" ht="21.95" customHeight="1">
      <c r="B94" s="66" t="s">
        <v>71</v>
      </c>
      <c r="C94" s="67">
        <v>3</v>
      </c>
      <c r="D94" s="67">
        <v>3</v>
      </c>
      <c r="E94" s="67" t="s">
        <v>117</v>
      </c>
      <c r="F94" s="69"/>
      <c r="G94" s="68"/>
      <c r="H94" s="68"/>
      <c r="I94" s="68"/>
      <c r="J94" s="58"/>
    </row>
    <row r="95" spans="2:10" s="57" customFormat="1" ht="21.95" customHeight="1">
      <c r="B95" s="66" t="s">
        <v>71</v>
      </c>
      <c r="C95" s="67">
        <v>3</v>
      </c>
      <c r="D95" s="67">
        <v>3</v>
      </c>
      <c r="E95" s="67" t="s">
        <v>118</v>
      </c>
      <c r="F95" s="69">
        <v>0.15</v>
      </c>
      <c r="G95" s="68"/>
      <c r="H95" s="68"/>
      <c r="I95" s="68"/>
      <c r="J95" s="58"/>
    </row>
    <row r="96" spans="2:10" s="57" customFormat="1" ht="21.95" customHeight="1">
      <c r="B96" s="66" t="s">
        <v>71</v>
      </c>
      <c r="C96" s="67">
        <v>3</v>
      </c>
      <c r="D96" s="67">
        <v>3</v>
      </c>
      <c r="E96" s="67" t="s">
        <v>119</v>
      </c>
      <c r="F96" s="69"/>
      <c r="G96" s="68"/>
      <c r="H96" s="68"/>
      <c r="I96" s="68"/>
      <c r="J96" s="58"/>
    </row>
    <row r="97" spans="2:10" s="57" customFormat="1" ht="21.95" customHeight="1">
      <c r="B97" s="66" t="s">
        <v>71</v>
      </c>
      <c r="C97" s="67">
        <v>3</v>
      </c>
      <c r="D97" s="67">
        <v>3</v>
      </c>
      <c r="E97" s="67" t="s">
        <v>120</v>
      </c>
      <c r="F97" s="69">
        <v>0.2</v>
      </c>
      <c r="G97" s="68"/>
      <c r="H97" s="68"/>
      <c r="I97" s="68"/>
      <c r="J97" s="58"/>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969F4-BE44-4FCF-99CF-A30BDD6FFC6A}">
  <sheetPr codeName="Sheet3"/>
  <dimension ref="B2:C197"/>
  <sheetViews>
    <sheetView zoomScale="205" zoomScaleNormal="205" workbookViewId="0">
      <pane ySplit="2" topLeftCell="A3" activePane="bottomLeft" state="frozen"/>
      <selection pane="bottomLeft" activeCell="C29" sqref="C29"/>
    </sheetView>
  </sheetViews>
  <sheetFormatPr defaultRowHeight="15"/>
  <cols>
    <col min="1" max="1" width="2.7109375" customWidth="1"/>
    <col min="2" max="2" width="9.140625" style="1"/>
    <col min="3" max="3" width="31.140625" bestFit="1" customWidth="1"/>
    <col min="4" max="4" width="2.7109375" customWidth="1"/>
  </cols>
  <sheetData>
    <row r="2" spans="2:3">
      <c r="B2" s="64" t="s">
        <v>230</v>
      </c>
      <c r="C2" s="64" t="s">
        <v>229</v>
      </c>
    </row>
    <row r="3" spans="2:3">
      <c r="B3" s="66">
        <v>1</v>
      </c>
      <c r="C3" s="67" t="s">
        <v>121</v>
      </c>
    </row>
    <row r="4" spans="2:3">
      <c r="B4" s="66">
        <v>2</v>
      </c>
      <c r="C4" s="67" t="s">
        <v>95</v>
      </c>
    </row>
    <row r="5" spans="2:3">
      <c r="B5" s="66">
        <v>3</v>
      </c>
      <c r="C5" s="67" t="s">
        <v>96</v>
      </c>
    </row>
    <row r="6" spans="2:3">
      <c r="B6" s="66">
        <v>4</v>
      </c>
      <c r="C6" s="67" t="s">
        <v>29</v>
      </c>
    </row>
    <row r="7" spans="2:3">
      <c r="B7" s="66">
        <v>5</v>
      </c>
      <c r="C7" s="67" t="s">
        <v>97</v>
      </c>
    </row>
    <row r="8" spans="2:3">
      <c r="B8" s="66">
        <v>6</v>
      </c>
      <c r="C8" s="67" t="s">
        <v>122</v>
      </c>
    </row>
    <row r="9" spans="2:3">
      <c r="B9" s="66">
        <v>7</v>
      </c>
      <c r="C9" s="67" t="s">
        <v>52</v>
      </c>
    </row>
    <row r="10" spans="2:3">
      <c r="B10" s="66">
        <v>8</v>
      </c>
      <c r="C10" s="67" t="s">
        <v>123</v>
      </c>
    </row>
    <row r="11" spans="2:3">
      <c r="B11" s="66">
        <v>9</v>
      </c>
      <c r="C11" s="67" t="s">
        <v>72</v>
      </c>
    </row>
    <row r="12" spans="2:3">
      <c r="B12" s="66">
        <v>10</v>
      </c>
      <c r="C12" s="67" t="s">
        <v>124</v>
      </c>
    </row>
    <row r="13" spans="2:3">
      <c r="B13" s="66">
        <v>11</v>
      </c>
      <c r="C13" s="67" t="s">
        <v>125</v>
      </c>
    </row>
    <row r="14" spans="2:3">
      <c r="B14" s="66">
        <v>12</v>
      </c>
      <c r="C14" s="67" t="s">
        <v>126</v>
      </c>
    </row>
    <row r="15" spans="2:3">
      <c r="B15" s="66">
        <v>13</v>
      </c>
      <c r="C15" s="67" t="s">
        <v>98</v>
      </c>
    </row>
    <row r="16" spans="2:3">
      <c r="B16" s="66">
        <v>14</v>
      </c>
      <c r="C16" s="67" t="s">
        <v>94</v>
      </c>
    </row>
    <row r="17" spans="2:3">
      <c r="B17" s="66">
        <v>15</v>
      </c>
      <c r="C17" s="67" t="s">
        <v>127</v>
      </c>
    </row>
    <row r="18" spans="2:3">
      <c r="B18" s="66">
        <v>16</v>
      </c>
      <c r="C18" s="67" t="s">
        <v>128</v>
      </c>
    </row>
    <row r="19" spans="2:3">
      <c r="B19" s="66">
        <v>17</v>
      </c>
      <c r="C19" s="67" t="s">
        <v>129</v>
      </c>
    </row>
    <row r="20" spans="2:3">
      <c r="B20" s="66">
        <v>18</v>
      </c>
      <c r="C20" s="67" t="s">
        <v>130</v>
      </c>
    </row>
    <row r="21" spans="2:3">
      <c r="B21" s="66">
        <v>19</v>
      </c>
      <c r="C21" s="67" t="s">
        <v>131</v>
      </c>
    </row>
    <row r="22" spans="2:3">
      <c r="B22" s="66">
        <v>20</v>
      </c>
      <c r="C22" s="67" t="s">
        <v>132</v>
      </c>
    </row>
    <row r="23" spans="2:3">
      <c r="B23" s="66">
        <v>21</v>
      </c>
      <c r="C23" s="67" t="s">
        <v>63</v>
      </c>
    </row>
    <row r="24" spans="2:3">
      <c r="B24" s="66">
        <v>22</v>
      </c>
      <c r="C24" s="67" t="s">
        <v>40</v>
      </c>
    </row>
    <row r="25" spans="2:3">
      <c r="B25" s="66">
        <v>23</v>
      </c>
      <c r="C25" s="67" t="s">
        <v>133</v>
      </c>
    </row>
    <row r="26" spans="2:3">
      <c r="B26" s="66">
        <v>24</v>
      </c>
      <c r="C26" s="67" t="s">
        <v>53</v>
      </c>
    </row>
    <row r="27" spans="2:3">
      <c r="B27" s="66">
        <v>25</v>
      </c>
      <c r="C27" s="67" t="s">
        <v>134</v>
      </c>
    </row>
    <row r="28" spans="2:3">
      <c r="B28" s="66">
        <v>26</v>
      </c>
      <c r="C28" s="67" t="s">
        <v>135</v>
      </c>
    </row>
    <row r="29" spans="2:3">
      <c r="B29" s="66">
        <v>27</v>
      </c>
      <c r="C29" s="67" t="s">
        <v>136</v>
      </c>
    </row>
    <row r="30" spans="2:3">
      <c r="B30" s="66">
        <v>28</v>
      </c>
      <c r="C30" s="67" t="s">
        <v>137</v>
      </c>
    </row>
    <row r="31" spans="2:3">
      <c r="B31" s="66">
        <v>29</v>
      </c>
      <c r="C31" s="67" t="s">
        <v>138</v>
      </c>
    </row>
    <row r="32" spans="2:3">
      <c r="B32" s="66">
        <v>30</v>
      </c>
      <c r="C32" s="67" t="s">
        <v>139</v>
      </c>
    </row>
    <row r="33" spans="2:3">
      <c r="B33" s="66">
        <v>31</v>
      </c>
      <c r="C33" s="67" t="s">
        <v>140</v>
      </c>
    </row>
    <row r="34" spans="2:3">
      <c r="B34" s="66">
        <v>32</v>
      </c>
      <c r="C34" s="67" t="s">
        <v>50</v>
      </c>
    </row>
    <row r="35" spans="2:3">
      <c r="B35" s="66">
        <v>33</v>
      </c>
      <c r="C35" s="67" t="s">
        <v>141</v>
      </c>
    </row>
    <row r="36" spans="2:3">
      <c r="B36" s="66">
        <v>34</v>
      </c>
      <c r="C36" s="67" t="s">
        <v>142</v>
      </c>
    </row>
    <row r="37" spans="2:3">
      <c r="B37" s="66">
        <v>35</v>
      </c>
      <c r="C37" s="67" t="s">
        <v>55</v>
      </c>
    </row>
    <row r="38" spans="2:3">
      <c r="B38" s="66">
        <v>36</v>
      </c>
      <c r="C38" s="67" t="s">
        <v>75</v>
      </c>
    </row>
    <row r="39" spans="2:3">
      <c r="B39" s="66">
        <v>37</v>
      </c>
      <c r="C39" s="67" t="s">
        <v>54</v>
      </c>
    </row>
    <row r="40" spans="2:3">
      <c r="B40" s="66">
        <v>38</v>
      </c>
      <c r="C40" s="67" t="s">
        <v>143</v>
      </c>
    </row>
    <row r="41" spans="2:3">
      <c r="B41" s="66">
        <v>39</v>
      </c>
      <c r="C41" s="67" t="s">
        <v>144</v>
      </c>
    </row>
    <row r="42" spans="2:3">
      <c r="B42" s="66">
        <v>40</v>
      </c>
      <c r="C42" s="67" t="s">
        <v>66</v>
      </c>
    </row>
    <row r="43" spans="2:3">
      <c r="B43" s="66">
        <v>41</v>
      </c>
      <c r="C43" s="67" t="s">
        <v>41</v>
      </c>
    </row>
    <row r="44" spans="2:3">
      <c r="B44" s="66">
        <v>42</v>
      </c>
      <c r="C44" s="67" t="s">
        <v>64</v>
      </c>
    </row>
    <row r="45" spans="2:3">
      <c r="B45" s="66">
        <v>43</v>
      </c>
      <c r="C45" s="67" t="s">
        <v>42</v>
      </c>
    </row>
    <row r="46" spans="2:3">
      <c r="B46" s="66">
        <v>44</v>
      </c>
      <c r="C46" s="67" t="s">
        <v>145</v>
      </c>
    </row>
    <row r="47" spans="2:3">
      <c r="B47" s="66">
        <v>45</v>
      </c>
      <c r="C47" s="67" t="s">
        <v>146</v>
      </c>
    </row>
    <row r="48" spans="2:3">
      <c r="B48" s="66">
        <v>46</v>
      </c>
      <c r="C48" s="67" t="s">
        <v>147</v>
      </c>
    </row>
    <row r="49" spans="2:3">
      <c r="B49" s="66">
        <v>47</v>
      </c>
      <c r="C49" s="67" t="s">
        <v>148</v>
      </c>
    </row>
    <row r="50" spans="2:3">
      <c r="B50" s="66">
        <v>48</v>
      </c>
      <c r="C50" s="67" t="s">
        <v>67</v>
      </c>
    </row>
    <row r="51" spans="2:3">
      <c r="B51" s="66">
        <v>49</v>
      </c>
      <c r="C51" s="67" t="s">
        <v>149</v>
      </c>
    </row>
    <row r="52" spans="2:3">
      <c r="B52" s="66">
        <v>50</v>
      </c>
      <c r="C52" s="67" t="s">
        <v>58</v>
      </c>
    </row>
    <row r="53" spans="2:3">
      <c r="B53" s="66">
        <v>51</v>
      </c>
      <c r="C53" s="67" t="s">
        <v>82</v>
      </c>
    </row>
    <row r="54" spans="2:3">
      <c r="B54" s="66">
        <v>52</v>
      </c>
      <c r="C54" s="67" t="s">
        <v>60</v>
      </c>
    </row>
    <row r="55" spans="2:3">
      <c r="B55" s="66">
        <v>53</v>
      </c>
      <c r="C55" s="67" t="s">
        <v>150</v>
      </c>
    </row>
    <row r="56" spans="2:3">
      <c r="B56" s="66">
        <v>54</v>
      </c>
      <c r="C56" s="67" t="s">
        <v>151</v>
      </c>
    </row>
    <row r="57" spans="2:3">
      <c r="B57" s="66">
        <v>55</v>
      </c>
      <c r="C57" s="67" t="s">
        <v>152</v>
      </c>
    </row>
    <row r="58" spans="2:3">
      <c r="B58" s="66">
        <v>56</v>
      </c>
      <c r="C58" s="67" t="s">
        <v>153</v>
      </c>
    </row>
    <row r="59" spans="2:3">
      <c r="B59" s="66">
        <v>57</v>
      </c>
      <c r="C59" s="67" t="s">
        <v>154</v>
      </c>
    </row>
    <row r="60" spans="2:3">
      <c r="B60" s="66">
        <v>58</v>
      </c>
      <c r="C60" s="67" t="s">
        <v>155</v>
      </c>
    </row>
    <row r="61" spans="2:3">
      <c r="B61" s="66">
        <v>59</v>
      </c>
      <c r="C61" s="67" t="s">
        <v>30</v>
      </c>
    </row>
    <row r="62" spans="2:3">
      <c r="B62" s="66">
        <v>60</v>
      </c>
      <c r="C62" s="67" t="s">
        <v>156</v>
      </c>
    </row>
    <row r="63" spans="2:3">
      <c r="B63" s="66">
        <v>61</v>
      </c>
      <c r="C63" s="67" t="s">
        <v>157</v>
      </c>
    </row>
    <row r="64" spans="2:3">
      <c r="B64" s="66">
        <v>62</v>
      </c>
      <c r="C64" s="67" t="s">
        <v>158</v>
      </c>
    </row>
    <row r="65" spans="2:3">
      <c r="B65" s="66">
        <v>63</v>
      </c>
      <c r="C65" s="67" t="s">
        <v>159</v>
      </c>
    </row>
    <row r="66" spans="2:3">
      <c r="B66" s="66">
        <v>64</v>
      </c>
      <c r="C66" s="67" t="s">
        <v>160</v>
      </c>
    </row>
    <row r="67" spans="2:3">
      <c r="B67" s="66">
        <v>65</v>
      </c>
      <c r="C67" s="67" t="s">
        <v>161</v>
      </c>
    </row>
    <row r="68" spans="2:3">
      <c r="B68" s="66">
        <v>66</v>
      </c>
      <c r="C68" s="67" t="s">
        <v>43</v>
      </c>
    </row>
    <row r="69" spans="2:3">
      <c r="B69" s="66">
        <v>67</v>
      </c>
      <c r="C69" s="67" t="s">
        <v>162</v>
      </c>
    </row>
    <row r="70" spans="2:3">
      <c r="B70" s="66">
        <v>68</v>
      </c>
      <c r="C70" s="67" t="s">
        <v>61</v>
      </c>
    </row>
    <row r="71" spans="2:3">
      <c r="B71" s="66">
        <v>69</v>
      </c>
      <c r="C71" s="67" t="s">
        <v>163</v>
      </c>
    </row>
    <row r="72" spans="2:3">
      <c r="B72" s="66">
        <v>70</v>
      </c>
      <c r="C72" s="67" t="s">
        <v>164</v>
      </c>
    </row>
    <row r="73" spans="2:3">
      <c r="B73" s="66">
        <v>71</v>
      </c>
      <c r="C73" s="67" t="s">
        <v>165</v>
      </c>
    </row>
    <row r="74" spans="2:3">
      <c r="B74" s="66">
        <v>72</v>
      </c>
      <c r="C74" s="67" t="s">
        <v>166</v>
      </c>
    </row>
    <row r="75" spans="2:3">
      <c r="B75" s="66">
        <v>73</v>
      </c>
      <c r="C75" s="67" t="s">
        <v>68</v>
      </c>
    </row>
    <row r="76" spans="2:3">
      <c r="B76" s="66">
        <v>74</v>
      </c>
      <c r="C76" s="67" t="s">
        <v>167</v>
      </c>
    </row>
    <row r="77" spans="2:3">
      <c r="B77" s="66">
        <v>75</v>
      </c>
      <c r="C77" s="67" t="s">
        <v>32</v>
      </c>
    </row>
    <row r="78" spans="2:3">
      <c r="B78" s="66">
        <v>76</v>
      </c>
      <c r="C78" s="67" t="s">
        <v>81</v>
      </c>
    </row>
    <row r="79" spans="2:3">
      <c r="B79" s="66">
        <v>77</v>
      </c>
      <c r="C79" s="67" t="s">
        <v>76</v>
      </c>
    </row>
    <row r="80" spans="2:3">
      <c r="B80" s="66">
        <v>78</v>
      </c>
      <c r="C80" s="67" t="s">
        <v>168</v>
      </c>
    </row>
    <row r="81" spans="2:3">
      <c r="B81" s="66">
        <v>79</v>
      </c>
      <c r="C81" s="67" t="s">
        <v>169</v>
      </c>
    </row>
    <row r="82" spans="2:3">
      <c r="B82" s="66">
        <v>80</v>
      </c>
      <c r="C82" s="67" t="s">
        <v>25</v>
      </c>
    </row>
    <row r="83" spans="2:3">
      <c r="B83" s="66">
        <v>81</v>
      </c>
      <c r="C83" s="67" t="s">
        <v>33</v>
      </c>
    </row>
    <row r="84" spans="2:3">
      <c r="B84" s="66">
        <v>82</v>
      </c>
      <c r="C84" s="67" t="s">
        <v>170</v>
      </c>
    </row>
    <row r="85" spans="2:3">
      <c r="B85" s="66">
        <v>83</v>
      </c>
      <c r="C85" s="67" t="s">
        <v>171</v>
      </c>
    </row>
    <row r="86" spans="2:3">
      <c r="B86" s="66">
        <v>84</v>
      </c>
      <c r="C86" s="67" t="s">
        <v>69</v>
      </c>
    </row>
    <row r="87" spans="2:3">
      <c r="B87" s="66">
        <v>85</v>
      </c>
      <c r="C87" s="67" t="s">
        <v>74</v>
      </c>
    </row>
    <row r="88" spans="2:3">
      <c r="B88" s="66">
        <v>86</v>
      </c>
      <c r="C88" s="67" t="s">
        <v>172</v>
      </c>
    </row>
    <row r="89" spans="2:3">
      <c r="B89" s="66">
        <v>87</v>
      </c>
      <c r="C89" s="67" t="s">
        <v>91</v>
      </c>
    </row>
    <row r="90" spans="2:3">
      <c r="B90" s="66">
        <v>88</v>
      </c>
      <c r="C90" s="67" t="s">
        <v>173</v>
      </c>
    </row>
    <row r="91" spans="2:3">
      <c r="B91" s="66">
        <v>89</v>
      </c>
      <c r="C91" s="67" t="s">
        <v>174</v>
      </c>
    </row>
    <row r="92" spans="2:3">
      <c r="B92" s="66">
        <v>90</v>
      </c>
      <c r="C92" s="67" t="s">
        <v>175</v>
      </c>
    </row>
    <row r="93" spans="2:3">
      <c r="B93" s="66">
        <v>91</v>
      </c>
      <c r="C93" s="67" t="s">
        <v>176</v>
      </c>
    </row>
    <row r="94" spans="2:3">
      <c r="B94" s="66">
        <v>92</v>
      </c>
      <c r="C94" s="67" t="s">
        <v>177</v>
      </c>
    </row>
    <row r="95" spans="2:3">
      <c r="B95" s="66">
        <v>93</v>
      </c>
      <c r="C95" s="67" t="s">
        <v>178</v>
      </c>
    </row>
    <row r="96" spans="2:3">
      <c r="B96" s="66">
        <v>94</v>
      </c>
      <c r="C96" s="67" t="s">
        <v>179</v>
      </c>
    </row>
    <row r="97" spans="2:3">
      <c r="B97" s="66">
        <v>95</v>
      </c>
      <c r="C97" s="67" t="s">
        <v>180</v>
      </c>
    </row>
    <row r="98" spans="2:3">
      <c r="B98" s="66">
        <v>96</v>
      </c>
      <c r="C98" s="67" t="s">
        <v>34</v>
      </c>
    </row>
    <row r="99" spans="2:3">
      <c r="B99" s="66">
        <v>97</v>
      </c>
      <c r="C99" s="67" t="s">
        <v>181</v>
      </c>
    </row>
    <row r="100" spans="2:3">
      <c r="B100" s="66">
        <v>98</v>
      </c>
      <c r="C100" s="67" t="s">
        <v>182</v>
      </c>
    </row>
    <row r="101" spans="2:3">
      <c r="B101" s="66">
        <v>99</v>
      </c>
      <c r="C101" s="67" t="s">
        <v>183</v>
      </c>
    </row>
    <row r="102" spans="2:3">
      <c r="B102" s="66">
        <v>100</v>
      </c>
      <c r="C102" s="67" t="s">
        <v>184</v>
      </c>
    </row>
    <row r="103" spans="2:3">
      <c r="B103" s="66">
        <v>101</v>
      </c>
      <c r="C103" s="67" t="s">
        <v>35</v>
      </c>
    </row>
    <row r="104" spans="2:3">
      <c r="B104" s="66">
        <v>102</v>
      </c>
      <c r="C104" s="67" t="s">
        <v>36</v>
      </c>
    </row>
    <row r="105" spans="2:3">
      <c r="B105" s="66">
        <v>103</v>
      </c>
      <c r="C105" s="67" t="s">
        <v>185</v>
      </c>
    </row>
    <row r="106" spans="2:3">
      <c r="B106" s="66">
        <v>104</v>
      </c>
      <c r="C106" s="67" t="s">
        <v>186</v>
      </c>
    </row>
    <row r="107" spans="2:3">
      <c r="B107" s="66">
        <v>105</v>
      </c>
      <c r="C107" s="67" t="s">
        <v>187</v>
      </c>
    </row>
    <row r="108" spans="2:3">
      <c r="B108" s="66">
        <v>106</v>
      </c>
      <c r="C108" s="67" t="s">
        <v>79</v>
      </c>
    </row>
    <row r="109" spans="2:3">
      <c r="B109" s="66">
        <v>107</v>
      </c>
      <c r="C109" s="67" t="s">
        <v>188</v>
      </c>
    </row>
    <row r="110" spans="2:3">
      <c r="B110" s="66">
        <v>108</v>
      </c>
      <c r="C110" s="67" t="s">
        <v>189</v>
      </c>
    </row>
    <row r="111" spans="2:3">
      <c r="B111" s="66">
        <v>109</v>
      </c>
      <c r="C111" s="67" t="s">
        <v>37</v>
      </c>
    </row>
    <row r="112" spans="2:3">
      <c r="B112" s="66">
        <v>110</v>
      </c>
      <c r="C112" s="67" t="s">
        <v>190</v>
      </c>
    </row>
    <row r="113" spans="2:3">
      <c r="B113" s="66">
        <v>111</v>
      </c>
      <c r="C113" s="67" t="s">
        <v>191</v>
      </c>
    </row>
    <row r="114" spans="2:3">
      <c r="B114" s="66">
        <v>112</v>
      </c>
      <c r="C114" s="67" t="s">
        <v>192</v>
      </c>
    </row>
    <row r="115" spans="2:3">
      <c r="B115" s="66">
        <v>113</v>
      </c>
      <c r="C115" s="67" t="s">
        <v>59</v>
      </c>
    </row>
    <row r="116" spans="2:3">
      <c r="B116" s="66">
        <v>114</v>
      </c>
      <c r="C116" s="67" t="s">
        <v>193</v>
      </c>
    </row>
    <row r="117" spans="2:3">
      <c r="B117" s="66">
        <v>115</v>
      </c>
      <c r="C117" s="67" t="s">
        <v>194</v>
      </c>
    </row>
    <row r="118" spans="2:3">
      <c r="B118" s="66">
        <v>116</v>
      </c>
      <c r="C118" s="67" t="s">
        <v>38</v>
      </c>
    </row>
    <row r="119" spans="2:3">
      <c r="B119" s="66">
        <v>117</v>
      </c>
      <c r="C119" s="67" t="s">
        <v>195</v>
      </c>
    </row>
    <row r="120" spans="2:3">
      <c r="B120" s="66">
        <v>118</v>
      </c>
      <c r="C120" s="67" t="s">
        <v>45</v>
      </c>
    </row>
    <row r="121" spans="2:3">
      <c r="B121" s="66">
        <v>119</v>
      </c>
      <c r="C121" s="67" t="s">
        <v>84</v>
      </c>
    </row>
    <row r="122" spans="2:3">
      <c r="B122" s="66">
        <v>120</v>
      </c>
      <c r="C122" s="67" t="s">
        <v>99</v>
      </c>
    </row>
    <row r="123" spans="2:3">
      <c r="B123" s="66">
        <v>121</v>
      </c>
      <c r="C123" s="67" t="s">
        <v>196</v>
      </c>
    </row>
    <row r="124" spans="2:3">
      <c r="B124" s="66">
        <v>122</v>
      </c>
      <c r="C124" s="67" t="s">
        <v>100</v>
      </c>
    </row>
    <row r="125" spans="2:3">
      <c r="B125" s="66">
        <v>123</v>
      </c>
      <c r="C125" s="67" t="s">
        <v>197</v>
      </c>
    </row>
    <row r="126" spans="2:3">
      <c r="B126" s="66">
        <v>124</v>
      </c>
      <c r="C126" s="67" t="s">
        <v>198</v>
      </c>
    </row>
    <row r="127" spans="2:3">
      <c r="B127" s="66">
        <v>125</v>
      </c>
      <c r="C127" s="67" t="s">
        <v>199</v>
      </c>
    </row>
    <row r="128" spans="2:3">
      <c r="B128" s="66">
        <v>126</v>
      </c>
      <c r="C128" s="67" t="s">
        <v>86</v>
      </c>
    </row>
    <row r="129" spans="2:3">
      <c r="B129" s="66">
        <v>127</v>
      </c>
      <c r="C129" s="67" t="s">
        <v>70</v>
      </c>
    </row>
    <row r="130" spans="2:3">
      <c r="B130" s="66">
        <v>128</v>
      </c>
      <c r="C130" s="67" t="s">
        <v>101</v>
      </c>
    </row>
    <row r="131" spans="2:3">
      <c r="B131" s="66">
        <v>129</v>
      </c>
      <c r="C131" s="67" t="s">
        <v>102</v>
      </c>
    </row>
    <row r="132" spans="2:3">
      <c r="B132" s="66">
        <v>130</v>
      </c>
      <c r="C132" s="67" t="s">
        <v>200</v>
      </c>
    </row>
    <row r="133" spans="2:3">
      <c r="B133" s="66">
        <v>131</v>
      </c>
      <c r="C133" s="67" t="s">
        <v>26</v>
      </c>
    </row>
    <row r="134" spans="2:3">
      <c r="B134" s="66">
        <v>132</v>
      </c>
      <c r="C134" s="67" t="s">
        <v>103</v>
      </c>
    </row>
    <row r="135" spans="2:3">
      <c r="B135" s="66">
        <v>133</v>
      </c>
      <c r="C135" s="67" t="s">
        <v>93</v>
      </c>
    </row>
    <row r="136" spans="2:3">
      <c r="B136" s="66">
        <v>134</v>
      </c>
      <c r="C136" s="67" t="s">
        <v>201</v>
      </c>
    </row>
    <row r="137" spans="2:3">
      <c r="B137" s="66">
        <v>135</v>
      </c>
      <c r="C137" s="67" t="s">
        <v>62</v>
      </c>
    </row>
    <row r="138" spans="2:3">
      <c r="B138" s="66">
        <v>136</v>
      </c>
      <c r="C138" s="67" t="s">
        <v>202</v>
      </c>
    </row>
    <row r="139" spans="2:3">
      <c r="B139" s="66">
        <v>137</v>
      </c>
      <c r="C139" s="67" t="s">
        <v>65</v>
      </c>
    </row>
    <row r="140" spans="2:3">
      <c r="B140" s="66">
        <v>138</v>
      </c>
      <c r="C140" s="67" t="s">
        <v>56</v>
      </c>
    </row>
    <row r="141" spans="2:3">
      <c r="B141" s="66">
        <v>139</v>
      </c>
      <c r="C141" s="67" t="s">
        <v>80</v>
      </c>
    </row>
    <row r="142" spans="2:3">
      <c r="B142" s="66">
        <v>140</v>
      </c>
      <c r="C142" s="67" t="s">
        <v>203</v>
      </c>
    </row>
    <row r="143" spans="2:3">
      <c r="B143" s="66">
        <v>141</v>
      </c>
      <c r="C143" s="67" t="s">
        <v>204</v>
      </c>
    </row>
    <row r="144" spans="2:3">
      <c r="B144" s="66">
        <v>142</v>
      </c>
      <c r="C144" s="67" t="s">
        <v>104</v>
      </c>
    </row>
    <row r="145" spans="2:3">
      <c r="B145" s="66">
        <v>143</v>
      </c>
      <c r="C145" s="67" t="s">
        <v>205</v>
      </c>
    </row>
    <row r="146" spans="2:3">
      <c r="B146" s="66">
        <v>144</v>
      </c>
      <c r="C146" s="67" t="s">
        <v>206</v>
      </c>
    </row>
    <row r="147" spans="2:3">
      <c r="B147" s="66">
        <v>145</v>
      </c>
      <c r="C147" s="67" t="s">
        <v>207</v>
      </c>
    </row>
    <row r="148" spans="2:3">
      <c r="B148" s="66">
        <v>146</v>
      </c>
      <c r="C148" s="67" t="s">
        <v>208</v>
      </c>
    </row>
    <row r="149" spans="2:3">
      <c r="B149" s="66">
        <v>147</v>
      </c>
      <c r="C149" s="67" t="s">
        <v>209</v>
      </c>
    </row>
    <row r="150" spans="2:3">
      <c r="B150" s="66">
        <v>148</v>
      </c>
      <c r="C150" s="67" t="s">
        <v>210</v>
      </c>
    </row>
    <row r="151" spans="2:3">
      <c r="B151" s="66">
        <v>149</v>
      </c>
      <c r="C151" s="67" t="s">
        <v>211</v>
      </c>
    </row>
    <row r="152" spans="2:3">
      <c r="B152" s="66">
        <v>150</v>
      </c>
      <c r="C152" s="67" t="s">
        <v>212</v>
      </c>
    </row>
    <row r="153" spans="2:3">
      <c r="B153" s="66">
        <v>151</v>
      </c>
      <c r="C153" s="67" t="s">
        <v>213</v>
      </c>
    </row>
    <row r="154" spans="2:3">
      <c r="B154" s="66">
        <v>152</v>
      </c>
      <c r="C154" s="67" t="s">
        <v>105</v>
      </c>
    </row>
    <row r="155" spans="2:3">
      <c r="B155" s="66">
        <v>153</v>
      </c>
      <c r="C155" s="67" t="s">
        <v>106</v>
      </c>
    </row>
    <row r="156" spans="2:3">
      <c r="B156" s="66">
        <v>154</v>
      </c>
      <c r="C156" s="67" t="s">
        <v>46</v>
      </c>
    </row>
    <row r="157" spans="2:3">
      <c r="B157" s="66">
        <v>155</v>
      </c>
      <c r="C157" s="67" t="s">
        <v>107</v>
      </c>
    </row>
    <row r="158" spans="2:3">
      <c r="B158" s="66">
        <v>156</v>
      </c>
      <c r="C158" s="67" t="s">
        <v>108</v>
      </c>
    </row>
    <row r="159" spans="2:3">
      <c r="B159" s="66">
        <v>157</v>
      </c>
      <c r="C159" s="67" t="s">
        <v>77</v>
      </c>
    </row>
    <row r="160" spans="2:3">
      <c r="B160" s="66">
        <v>158</v>
      </c>
      <c r="C160" s="67" t="s">
        <v>214</v>
      </c>
    </row>
    <row r="161" spans="2:3">
      <c r="B161" s="66">
        <v>159</v>
      </c>
      <c r="C161" s="67" t="s">
        <v>215</v>
      </c>
    </row>
    <row r="162" spans="2:3">
      <c r="B162" s="66">
        <v>160</v>
      </c>
      <c r="C162" s="67" t="s">
        <v>216</v>
      </c>
    </row>
    <row r="163" spans="2:3">
      <c r="B163" s="66">
        <v>161</v>
      </c>
      <c r="C163" s="67" t="s">
        <v>109</v>
      </c>
    </row>
    <row r="164" spans="2:3">
      <c r="B164" s="66">
        <v>162</v>
      </c>
      <c r="C164" s="67" t="s">
        <v>83</v>
      </c>
    </row>
    <row r="165" spans="2:3">
      <c r="B165" s="66">
        <v>163</v>
      </c>
      <c r="C165" s="67" t="s">
        <v>110</v>
      </c>
    </row>
    <row r="166" spans="2:3">
      <c r="B166" s="66">
        <v>164</v>
      </c>
      <c r="C166" s="67" t="s">
        <v>217</v>
      </c>
    </row>
    <row r="167" spans="2:3">
      <c r="B167" s="66">
        <v>165</v>
      </c>
      <c r="C167" s="67" t="s">
        <v>88</v>
      </c>
    </row>
    <row r="168" spans="2:3">
      <c r="B168" s="66">
        <v>166</v>
      </c>
      <c r="C168" s="67" t="s">
        <v>111</v>
      </c>
    </row>
    <row r="169" spans="2:3">
      <c r="B169" s="66">
        <v>167</v>
      </c>
      <c r="C169" s="67" t="s">
        <v>218</v>
      </c>
    </row>
    <row r="170" spans="2:3">
      <c r="B170" s="66">
        <v>168</v>
      </c>
      <c r="C170" s="67" t="s">
        <v>27</v>
      </c>
    </row>
    <row r="171" spans="2:3">
      <c r="B171" s="66">
        <v>169</v>
      </c>
      <c r="C171" s="67" t="s">
        <v>21</v>
      </c>
    </row>
    <row r="172" spans="2:3">
      <c r="B172" s="66">
        <v>170</v>
      </c>
      <c r="C172" s="67" t="s">
        <v>112</v>
      </c>
    </row>
    <row r="173" spans="2:3">
      <c r="B173" s="66">
        <v>171</v>
      </c>
      <c r="C173" s="67" t="s">
        <v>87</v>
      </c>
    </row>
    <row r="174" spans="2:3">
      <c r="B174" s="66">
        <v>172</v>
      </c>
      <c r="C174" s="67" t="s">
        <v>219</v>
      </c>
    </row>
    <row r="175" spans="2:3">
      <c r="B175" s="66">
        <v>173</v>
      </c>
      <c r="C175" s="67" t="s">
        <v>113</v>
      </c>
    </row>
    <row r="176" spans="2:3">
      <c r="B176" s="66">
        <v>174</v>
      </c>
      <c r="C176" s="67" t="s">
        <v>89</v>
      </c>
    </row>
    <row r="177" spans="2:3">
      <c r="B177" s="66">
        <v>175</v>
      </c>
      <c r="C177" s="67" t="s">
        <v>114</v>
      </c>
    </row>
    <row r="178" spans="2:3">
      <c r="B178" s="66">
        <v>176</v>
      </c>
      <c r="C178" s="67" t="s">
        <v>220</v>
      </c>
    </row>
    <row r="179" spans="2:3">
      <c r="B179" s="66">
        <v>177</v>
      </c>
      <c r="C179" s="67" t="s">
        <v>221</v>
      </c>
    </row>
    <row r="180" spans="2:3">
      <c r="B180" s="66">
        <v>178</v>
      </c>
      <c r="C180" s="67" t="s">
        <v>116</v>
      </c>
    </row>
    <row r="181" spans="2:3">
      <c r="B181" s="66">
        <v>179</v>
      </c>
      <c r="C181" s="67" t="s">
        <v>28</v>
      </c>
    </row>
    <row r="182" spans="2:3">
      <c r="B182" s="66">
        <v>180</v>
      </c>
      <c r="C182" s="67" t="s">
        <v>222</v>
      </c>
    </row>
    <row r="183" spans="2:3">
      <c r="B183" s="66">
        <v>181</v>
      </c>
      <c r="C183" s="67" t="s">
        <v>223</v>
      </c>
    </row>
    <row r="184" spans="2:3">
      <c r="B184" s="66">
        <v>182</v>
      </c>
      <c r="C184" s="67" t="s">
        <v>117</v>
      </c>
    </row>
    <row r="185" spans="2:3">
      <c r="B185" s="66">
        <v>183</v>
      </c>
      <c r="C185" s="67" t="s">
        <v>224</v>
      </c>
    </row>
    <row r="186" spans="2:3">
      <c r="B186" s="66">
        <v>184</v>
      </c>
      <c r="C186" s="67" t="s">
        <v>85</v>
      </c>
    </row>
    <row r="187" spans="2:3">
      <c r="B187" s="66">
        <v>185</v>
      </c>
      <c r="C187" s="67" t="s">
        <v>24</v>
      </c>
    </row>
    <row r="188" spans="2:3">
      <c r="B188" s="66">
        <v>186</v>
      </c>
      <c r="C188" s="67" t="s">
        <v>49</v>
      </c>
    </row>
    <row r="189" spans="2:3">
      <c r="B189" s="66">
        <v>187</v>
      </c>
      <c r="C189" s="67" t="s">
        <v>57</v>
      </c>
    </row>
    <row r="190" spans="2:3">
      <c r="B190" s="66">
        <v>188</v>
      </c>
      <c r="C190" s="67" t="s">
        <v>225</v>
      </c>
    </row>
    <row r="191" spans="2:3">
      <c r="B191" s="66">
        <v>189</v>
      </c>
      <c r="C191" s="67" t="s">
        <v>226</v>
      </c>
    </row>
    <row r="192" spans="2:3">
      <c r="B192" s="66">
        <v>190</v>
      </c>
      <c r="C192" s="67" t="s">
        <v>227</v>
      </c>
    </row>
    <row r="193" spans="2:3">
      <c r="B193" s="66">
        <v>191</v>
      </c>
      <c r="C193" s="67" t="s">
        <v>228</v>
      </c>
    </row>
    <row r="194" spans="2:3">
      <c r="B194" s="66">
        <v>192</v>
      </c>
      <c r="C194" s="67" t="s">
        <v>90</v>
      </c>
    </row>
    <row r="195" spans="2:3">
      <c r="B195" s="66">
        <v>193</v>
      </c>
      <c r="C195" s="67" t="s">
        <v>118</v>
      </c>
    </row>
    <row r="196" spans="2:3">
      <c r="B196" s="66">
        <v>194</v>
      </c>
      <c r="C196" s="67" t="s">
        <v>119</v>
      </c>
    </row>
    <row r="197" spans="2:3">
      <c r="B197" s="66">
        <v>195</v>
      </c>
      <c r="C197" s="67" t="s">
        <v>120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F135A-0673-4FAE-B786-A440A28AD21D}">
  <sheetPr codeName="Sheet5"/>
  <dimension ref="B2:C7"/>
  <sheetViews>
    <sheetView zoomScale="220" zoomScaleNormal="220" workbookViewId="0">
      <selection activeCell="B3" sqref="B3:C7"/>
    </sheetView>
  </sheetViews>
  <sheetFormatPr defaultRowHeight="15"/>
  <cols>
    <col min="2" max="3" width="43.5703125" bestFit="1" customWidth="1"/>
  </cols>
  <sheetData>
    <row r="2" spans="2:3">
      <c r="B2" s="72" t="s">
        <v>279</v>
      </c>
      <c r="C2" s="72" t="s">
        <v>300</v>
      </c>
    </row>
    <row r="3" spans="2:3">
      <c r="B3" s="71" t="s">
        <v>290</v>
      </c>
      <c r="C3" s="71" t="s">
        <v>301</v>
      </c>
    </row>
    <row r="4" spans="2:3">
      <c r="B4" t="s">
        <v>294</v>
      </c>
      <c r="C4" t="s">
        <v>302</v>
      </c>
    </row>
    <row r="5" spans="2:3">
      <c r="B5" t="s">
        <v>295</v>
      </c>
      <c r="C5" t="s">
        <v>303</v>
      </c>
    </row>
    <row r="6" spans="2:3">
      <c r="B6" t="s">
        <v>293</v>
      </c>
      <c r="C6" t="s">
        <v>304</v>
      </c>
    </row>
    <row r="7" spans="2:3">
      <c r="B7" t="s">
        <v>292</v>
      </c>
      <c r="C7" t="s">
        <v>291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Freight Calculator</vt:lpstr>
      <vt:lpstr>Estimate</vt:lpstr>
      <vt:lpstr>Customers</vt:lpstr>
      <vt:lpstr>Countries &amp; Rates</vt:lpstr>
      <vt:lpstr>Origins</vt:lpstr>
      <vt:lpstr>Helper</vt:lpstr>
      <vt:lpstr>admin_documentation_fee</vt:lpstr>
      <vt:lpstr>Cargo_Value</vt:lpstr>
      <vt:lpstr>destination2</vt:lpstr>
      <vt:lpstr>handling_charges</vt:lpstr>
      <vt:lpstr>height</vt:lpstr>
      <vt:lpstr>IOR</vt:lpstr>
      <vt:lpstr>length</vt:lpstr>
      <vt:lpstr>origin2</vt:lpstr>
      <vt:lpstr>package_dimension</vt:lpstr>
      <vt:lpstr>package_gross_weight</vt:lpstr>
      <vt:lpstr>Customers!Print_Area</vt:lpstr>
      <vt:lpstr>Estimate!Print_Area</vt:lpstr>
      <vt:lpstr>'Freight Calculator'!Print_Area</vt:lpstr>
      <vt:lpstr>volumetric_weight</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Yaqoob Khan</dc:creator>
  <cp:lastModifiedBy>Yaqoob Khan</cp:lastModifiedBy>
  <cp:lastPrinted>2024-07-26T11:25:29Z</cp:lastPrinted>
  <dcterms:created xsi:type="dcterms:W3CDTF">2024-03-20T10:51:08Z</dcterms:created>
  <dcterms:modified xsi:type="dcterms:W3CDTF">2024-08-13T10:49:16Z</dcterms:modified>
</cp:coreProperties>
</file>